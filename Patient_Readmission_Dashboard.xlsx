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hea\Desktop\ALL Project\healthcare-readmission\project2-healthcare-readmission-analytics\excel\"/>
    </mc:Choice>
  </mc:AlternateContent>
  <xr:revisionPtr revIDLastSave="0" documentId="8_{15D797A7-C44F-4F46-A632-6D0562AA70A6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w_Data" sheetId="2" r:id="rId1"/>
    <sheet name="Cleaned_Data" sheetId="3" r:id="rId2"/>
    <sheet name="Dashboard" sheetId="1" r:id="rId3"/>
    <sheet name="Pivot_Department" sheetId="5" r:id="rId4"/>
    <sheet name="Pivot_Chronic_FollowUp" sheetId="6" r:id="rId5"/>
    <sheet name="Pivot_Disposition" sheetId="7" r:id="rId6"/>
  </sheets>
  <calcPr calcId="191029" iterateDelta="1E-4"/>
  <pivotCaches>
    <pivotCache cacheId="2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1" l="1"/>
  <c r="C15" i="1"/>
  <c r="D14" i="1"/>
  <c r="C14" i="1"/>
  <c r="D13" i="1"/>
  <c r="C13" i="1"/>
  <c r="H12" i="1"/>
  <c r="D12" i="1"/>
  <c r="C12" i="1"/>
  <c r="H11" i="1"/>
  <c r="D11" i="1"/>
  <c r="C11" i="1"/>
  <c r="N6" i="1"/>
  <c r="H6" i="1"/>
  <c r="D6" i="1"/>
  <c r="B6" i="1"/>
  <c r="F6" i="1" l="1"/>
</calcChain>
</file>

<file path=xl/sharedStrings.xml><?xml version="1.0" encoding="utf-8"?>
<sst xmlns="http://schemas.openxmlformats.org/spreadsheetml/2006/main" count="6022" uniqueCount="64">
  <si>
    <t>PATIENT READMISSION RISK DASHBOARD</t>
  </si>
  <si>
    <t>Total Patients</t>
  </si>
  <si>
    <t>Readmitted (30-Day)</t>
  </si>
  <si>
    <t>Readmission Rate %</t>
  </si>
  <si>
    <t>Avg Length of Stay</t>
  </si>
  <si>
    <t>High-Risk (Chronic+No Follow-Up)</t>
  </si>
  <si>
    <t>Readmission Rate by Department</t>
  </si>
  <si>
    <t>Patients by Chronic Condition</t>
  </si>
  <si>
    <t>Department</t>
  </si>
  <si>
    <t>Readmitted</t>
  </si>
  <si>
    <t>Total</t>
  </si>
  <si>
    <t>Chronic Condition</t>
  </si>
  <si>
    <t>Count</t>
  </si>
  <si>
    <t>Cardiology</t>
  </si>
  <si>
    <t>Yes</t>
  </si>
  <si>
    <t>General Medicine</t>
  </si>
  <si>
    <t>No</t>
  </si>
  <si>
    <t>Neurology</t>
  </si>
  <si>
    <t>Oncology</t>
  </si>
  <si>
    <t>Orthopedics</t>
  </si>
  <si>
    <t>PatientID</t>
  </si>
  <si>
    <t>Age</t>
  </si>
  <si>
    <t>Gender</t>
  </si>
  <si>
    <t>Diagnosis</t>
  </si>
  <si>
    <t>LengthOfStay</t>
  </si>
  <si>
    <t>PriorAdmissions</t>
  </si>
  <si>
    <t>ChronicCondition</t>
  </si>
  <si>
    <t>MedicationCount</t>
  </si>
  <si>
    <t>DischargeDisposition</t>
  </si>
  <si>
    <t>FollowUpScheduled</t>
  </si>
  <si>
    <t>Readmitted_30Days</t>
  </si>
  <si>
    <t>M</t>
  </si>
  <si>
    <t>Heart Failure</t>
  </si>
  <si>
    <t>Home</t>
  </si>
  <si>
    <t>Male</t>
  </si>
  <si>
    <t>Coronary Artery Disease</t>
  </si>
  <si>
    <t>Rehab Facility</t>
  </si>
  <si>
    <t>Hypertension</t>
  </si>
  <si>
    <t>Female</t>
  </si>
  <si>
    <t>Pneumonia</t>
  </si>
  <si>
    <t>Diabetes Complication</t>
  </si>
  <si>
    <t>Knee Replacement</t>
  </si>
  <si>
    <t>Migraine</t>
  </si>
  <si>
    <t>Arrhythmia</t>
  </si>
  <si>
    <t>Home Health Care</t>
  </si>
  <si>
    <t>Spinal Surgery</t>
  </si>
  <si>
    <t>Hip Fracture</t>
  </si>
  <si>
    <t xml:space="preserve">  cardiology </t>
  </si>
  <si>
    <t>Skilled Nursing Facility</t>
  </si>
  <si>
    <t>Seizure Disorder</t>
  </si>
  <si>
    <t>Palliative Care</t>
  </si>
  <si>
    <t>Post-Surgical Care</t>
  </si>
  <si>
    <t>Chemotherapy Complication</t>
  </si>
  <si>
    <t>Stroke</t>
  </si>
  <si>
    <t>PIVOT TABLE 1 -- Patient Count by Department &amp; Readmission Status</t>
  </si>
  <si>
    <t>Count of PatientID</t>
  </si>
  <si>
    <t>Total Result</t>
  </si>
  <si>
    <t>- all -</t>
  </si>
  <si>
    <t>Row Labels</t>
  </si>
  <si>
    <t>Average of LengthOfStay</t>
  </si>
  <si>
    <t>Total Count of PatientID</t>
  </si>
  <si>
    <t>Total Average of LengthOfStay</t>
  </si>
  <si>
    <t>Average of PriorAdmissions</t>
  </si>
  <si>
    <t>Total Average of PriorAdmissions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</si>
</sst>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rgb="FF0F6E6E"/>
      <name val="Cambria"/>
      <charset val="1"/>
    </font>
    <font>
      <i/>
      <sz val="10"/>
      <color rgb="FF666666"/>
      <name val="Cambria"/>
      <charset val="1"/>
    </font>
    <font>
      <b/>
      <sz val="9"/>
      <color rgb="FFFFFFFF"/>
      <name val="Cambria"/>
      <charset val="1"/>
    </font>
    <font>
      <b/>
      <sz val="14"/>
      <color rgb="FF0F6E6E"/>
      <name val="Cambria"/>
      <charset val="1"/>
    </font>
    <font>
      <b/>
      <sz val="12"/>
      <color rgb="FF0F6E6E"/>
      <name val="Cambria"/>
      <charset val="1"/>
    </font>
    <font>
      <b/>
      <sz val="11"/>
      <color rgb="FFFFFFFF"/>
      <name val="Cambria"/>
      <charset val="1"/>
    </font>
    <font>
      <i/>
      <sz val="9"/>
      <color rgb="FF666666"/>
      <name val="Cambria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F6E6E"/>
        <bgColor rgb="FF008080"/>
      </patternFill>
    </fill>
    <fill>
      <patternFill patternType="solid">
        <fgColor rgb="FFCFEDE8"/>
        <bgColor rgb="FFCCFFFF"/>
      </patternFill>
    </fill>
    <fill>
      <patternFill patternType="solid">
        <fgColor theme="3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9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50">
    <xf numFmtId="0" fontId="0" fillId="0" borderId="0" xfId="0"/>
    <xf numFmtId="165" fontId="5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2" borderId="0" xfId="0" applyFont="1" applyFill="1"/>
    <xf numFmtId="0" fontId="8" fillId="0" borderId="0" xfId="0" applyFont="1"/>
    <xf numFmtId="0" fontId="9" fillId="0" borderId="1" xfId="1" applyBorder="1"/>
    <xf numFmtId="0" fontId="9" fillId="0" borderId="2" xfId="3" applyBorder="1"/>
    <xf numFmtId="0" fontId="9" fillId="0" borderId="3" xfId="1" applyBorder="1"/>
    <xf numFmtId="0" fontId="9" fillId="0" borderId="4" xfId="1" applyBorder="1"/>
    <xf numFmtId="0" fontId="9" fillId="0" borderId="5" xfId="3" applyBorder="1"/>
    <xf numFmtId="0" fontId="9" fillId="0" borderId="6" xfId="4" applyBorder="1">
      <alignment horizontal="left"/>
    </xf>
    <xf numFmtId="0" fontId="9" fillId="0" borderId="7" xfId="4" applyBorder="1">
      <alignment horizontal="left"/>
    </xf>
    <xf numFmtId="0" fontId="1" fillId="0" borderId="8" xfId="5" applyBorder="1">
      <alignment horizontal="left"/>
    </xf>
    <xf numFmtId="0" fontId="9" fillId="0" borderId="9" xfId="4" applyBorder="1">
      <alignment horizontal="left"/>
    </xf>
    <xf numFmtId="0" fontId="9" fillId="0" borderId="10" xfId="2" applyBorder="1"/>
    <xf numFmtId="0" fontId="9" fillId="0" borderId="11" xfId="2" applyBorder="1"/>
    <xf numFmtId="0" fontId="1" fillId="0" borderId="12" xfId="6" applyBorder="1"/>
    <xf numFmtId="0" fontId="9" fillId="0" borderId="13" xfId="4" applyBorder="1">
      <alignment horizontal="left"/>
    </xf>
    <xf numFmtId="0" fontId="9" fillId="0" borderId="14" xfId="2" applyBorder="1"/>
    <xf numFmtId="0" fontId="9" fillId="0" borderId="15" xfId="2" applyBorder="1"/>
    <xf numFmtId="0" fontId="1" fillId="0" borderId="16" xfId="6" applyBorder="1"/>
    <xf numFmtId="0" fontId="9" fillId="0" borderId="6" xfId="2" applyBorder="1"/>
    <xf numFmtId="0" fontId="9" fillId="0" borderId="17" xfId="2" applyBorder="1"/>
    <xf numFmtId="0" fontId="1" fillId="0" borderId="18" xfId="6" applyBorder="1"/>
    <xf numFmtId="0" fontId="1" fillId="0" borderId="19" xfId="5" applyBorder="1">
      <alignment horizontal="left"/>
    </xf>
    <xf numFmtId="0" fontId="1" fillId="0" borderId="20" xfId="6" applyBorder="1"/>
    <xf numFmtId="0" fontId="1" fillId="0" borderId="21" xfId="6" applyBorder="1"/>
    <xf numFmtId="0" fontId="1" fillId="0" borderId="22" xfId="6" applyBorder="1"/>
    <xf numFmtId="0" fontId="9" fillId="0" borderId="0" xfId="3"/>
    <xf numFmtId="0" fontId="0" fillId="0" borderId="23" xfId="0" applyBorder="1"/>
    <xf numFmtId="0" fontId="9" fillId="0" borderId="24" xfId="3" applyBorder="1"/>
    <xf numFmtId="0" fontId="9" fillId="0" borderId="9" xfId="4" applyBorder="1" applyAlignment="1">
      <alignment horizontal="left" indent="1"/>
    </xf>
    <xf numFmtId="0" fontId="9" fillId="0" borderId="25" xfId="2" applyBorder="1"/>
    <xf numFmtId="0" fontId="9" fillId="0" borderId="13" xfId="4" applyBorder="1" applyAlignment="1">
      <alignment horizontal="left" indent="1"/>
    </xf>
    <xf numFmtId="0" fontId="9" fillId="0" borderId="26" xfId="2" applyBorder="1"/>
    <xf numFmtId="0" fontId="9" fillId="0" borderId="24" xfId="4" applyBorder="1" applyAlignment="1">
      <alignment horizontal="left" indent="1"/>
    </xf>
    <xf numFmtId="0" fontId="9" fillId="0" borderId="27" xfId="2" applyBorder="1"/>
    <xf numFmtId="0" fontId="9" fillId="0" borderId="28" xfId="2" applyBorder="1"/>
    <xf numFmtId="0" fontId="9" fillId="0" borderId="0" xfId="2"/>
    <xf numFmtId="0" fontId="9" fillId="0" borderId="7" xfId="2" applyBorder="1"/>
    <xf numFmtId="0" fontId="1" fillId="0" borderId="5" xfId="5" applyBorder="1">
      <alignment horizontal="left"/>
    </xf>
    <xf numFmtId="0" fontId="1" fillId="0" borderId="29" xfId="6" applyBorder="1"/>
    <xf numFmtId="0" fontId="1" fillId="0" borderId="30" xfId="6" applyBorder="1"/>
    <xf numFmtId="0" fontId="1" fillId="0" borderId="8" xfId="6" applyBorder="1"/>
    <xf numFmtId="0" fontId="0" fillId="4" borderId="0" xfId="0" applyFill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3" tint="0.5999938962981048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6E"/>
      <rgbColor rgb="FFC0C0C0"/>
      <rgbColor rgb="FF878787"/>
      <rgbColor rgb="FF9999FF"/>
      <rgbColor rgb="FFC0504D"/>
      <rgbColor rgb="FFFFFFCC"/>
      <rgbColor rgb="FFCFED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Readmitted Patients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Readmitted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Dashboard!$B$11:$B$15</c:f>
              <c:strCache>
                <c:ptCount val="5"/>
                <c:pt idx="0">
                  <c:v>Cardiology</c:v>
                </c:pt>
                <c:pt idx="1">
                  <c:v>General Medicine</c:v>
                </c:pt>
                <c:pt idx="2">
                  <c:v>Neurology</c:v>
                </c:pt>
                <c:pt idx="3">
                  <c:v>Oncology</c:v>
                </c:pt>
                <c:pt idx="4">
                  <c:v>Orthopedics</c:v>
                </c:pt>
              </c:strCache>
            </c:strRef>
          </c:cat>
          <c:val>
            <c:numRef>
              <c:f>Dashboard!$C$11:$C$15</c:f>
              <c:numCache>
                <c:formatCode>General</c:formatCode>
                <c:ptCount val="5"/>
                <c:pt idx="0">
                  <c:v>18</c:v>
                </c:pt>
                <c:pt idx="1">
                  <c:v>21</c:v>
                </c:pt>
                <c:pt idx="2">
                  <c:v>11</c:v>
                </c:pt>
                <c:pt idx="3">
                  <c:v>8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E-4BDC-B043-39599F15A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35662"/>
        <c:axId val="36162204"/>
      </c:barChart>
      <c:catAx>
        <c:axId val="126356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162204"/>
        <c:crosses val="autoZero"/>
        <c:auto val="1"/>
        <c:lblAlgn val="ctr"/>
        <c:lblOffset val="100"/>
        <c:noMultiLvlLbl val="0"/>
      </c:catAx>
      <c:valAx>
        <c:axId val="361622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6356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Patients by Chronic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Dashboard!$H$10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388-4FA9-A832-45D3EF906E2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388-4FA9-A832-45D3EF906E2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388-4FA9-A832-45D3EF906E2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388-4FA9-A832-45D3EF906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Dashboard!$G$11:$G$12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Dashboard!$H$11:$H$12</c:f>
              <c:numCache>
                <c:formatCode>General</c:formatCode>
                <c:ptCount val="2"/>
                <c:pt idx="0">
                  <c:v>157</c:v>
                </c:pt>
                <c:pt idx="1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88-4FA9-A832-45D3EF906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168480</xdr:rowOff>
    </xdr:from>
    <xdr:to>
      <xdr:col>7</xdr:col>
      <xdr:colOff>591480</xdr:colOff>
      <xdr:row>29</xdr:row>
      <xdr:rowOff>20880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495300</xdr:colOff>
      <xdr:row>15</xdr:row>
      <xdr:rowOff>153240</xdr:rowOff>
    </xdr:from>
    <xdr:to>
      <xdr:col>13</xdr:col>
      <xdr:colOff>1486740</xdr:colOff>
      <xdr:row>29</xdr:row>
      <xdr:rowOff>5640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420" xr:uid="{00000000-000A-0000-FFFF-FFFF01000000}">
  <cacheSource type="worksheet">
    <worksheetSource ref="A1:L421" sheet="Cleaned_Data"/>
  </cacheSource>
  <cacheFields count="12">
    <cacheField name="PatientID" numFmtId="0">
      <sharedItems containsSemiMixedTypes="0" containsString="0" containsNumber="1" containsInteger="1" minValue="2001" maxValue="2420" count="420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</sharedItems>
    </cacheField>
    <cacheField name="Age" numFmtId="0">
      <sharedItems containsSemiMixedTypes="0" containsString="0" containsNumber="1" containsInteger="1" minValue="18" maxValue="89" count="72"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</sharedItems>
    </cacheField>
    <cacheField name="Gender" numFmtId="0">
      <sharedItems count="2">
        <s v="Female"/>
        <s v="Male"/>
      </sharedItems>
    </cacheField>
    <cacheField name="Department" numFmtId="0">
      <sharedItems count="5">
        <s v="Cardiology"/>
        <s v="General Medicine"/>
        <s v="Neurology"/>
        <s v="Oncology"/>
        <s v="Orthopedics"/>
      </sharedItems>
    </cacheField>
    <cacheField name="Diagnosis" numFmtId="0">
      <sharedItems count="15">
        <s v="Arrhythmia"/>
        <s v="Chemotherapy Complication"/>
        <s v="Coronary Artery Disease"/>
        <s v="Diabetes Complication"/>
        <s v="Heart Failure"/>
        <s v="Hip Fracture"/>
        <s v="Hypertension"/>
        <s v="Knee Replacement"/>
        <s v="Migraine"/>
        <s v="Palliative Care"/>
        <s v="Pneumonia"/>
        <s v="Post-Surgical Care"/>
        <s v="Seizure Disorder"/>
        <s v="Spinal Surgery"/>
        <s v="Stroke"/>
      </sharedItems>
    </cacheField>
    <cacheField name="LengthOfStay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PriorAdmissions" numFmtId="0">
      <sharedItems containsSemiMixedTypes="0" containsString="0" containsNumber="1" containsInteger="1" minValue="0" maxValue="7" count="8">
        <n v="0"/>
        <n v="1"/>
        <n v="2"/>
        <n v="3"/>
        <n v="4"/>
        <n v="5"/>
        <n v="6"/>
        <n v="7"/>
      </sharedItems>
    </cacheField>
    <cacheField name="ChronicCondition" numFmtId="0">
      <sharedItems count="2">
        <s v="No"/>
        <s v="Yes"/>
      </sharedItems>
    </cacheField>
    <cacheField name="MedicationCount" numFmtId="0">
      <sharedItems containsSemiMixedTypes="0" containsString="0" containsNumber="1" containsInteger="1" minValue="1" maxValue="14" count="1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</sharedItems>
    </cacheField>
    <cacheField name="DischargeDisposition" numFmtId="0">
      <sharedItems count="4">
        <s v="Home"/>
        <s v="Home Health Care"/>
        <s v="Rehab Facility"/>
        <s v="Skilled Nursing Facility"/>
      </sharedItems>
    </cacheField>
    <cacheField name="FollowUpScheduled" numFmtId="0">
      <sharedItems count="2">
        <s v="No"/>
        <s v="Yes"/>
      </sharedItems>
    </cacheField>
    <cacheField name="Readmitted_30Day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0">
  <r>
    <x v="0"/>
    <x v="4"/>
    <x v="1"/>
    <x v="0"/>
    <x v="4"/>
    <x v="0"/>
    <x v="0"/>
    <x v="1"/>
    <x v="1"/>
    <x v="0"/>
    <x v="0"/>
    <x v="0"/>
  </r>
  <r>
    <x v="1"/>
    <x v="48"/>
    <x v="1"/>
    <x v="0"/>
    <x v="2"/>
    <x v="4"/>
    <x v="0"/>
    <x v="0"/>
    <x v="7"/>
    <x v="2"/>
    <x v="1"/>
    <x v="0"/>
  </r>
  <r>
    <x v="2"/>
    <x v="70"/>
    <x v="1"/>
    <x v="1"/>
    <x v="6"/>
    <x v="8"/>
    <x v="4"/>
    <x v="1"/>
    <x v="12"/>
    <x v="0"/>
    <x v="1"/>
    <x v="1"/>
  </r>
  <r>
    <x v="3"/>
    <x v="5"/>
    <x v="0"/>
    <x v="1"/>
    <x v="10"/>
    <x v="11"/>
    <x v="3"/>
    <x v="0"/>
    <x v="0"/>
    <x v="0"/>
    <x v="0"/>
    <x v="0"/>
  </r>
  <r>
    <x v="4"/>
    <x v="53"/>
    <x v="1"/>
    <x v="1"/>
    <x v="3"/>
    <x v="2"/>
    <x v="3"/>
    <x v="0"/>
    <x v="11"/>
    <x v="0"/>
    <x v="1"/>
    <x v="0"/>
  </r>
  <r>
    <x v="5"/>
    <x v="4"/>
    <x v="1"/>
    <x v="4"/>
    <x v="7"/>
    <x v="2"/>
    <x v="1"/>
    <x v="0"/>
    <x v="1"/>
    <x v="2"/>
    <x v="0"/>
    <x v="0"/>
  </r>
  <r>
    <x v="6"/>
    <x v="67"/>
    <x v="0"/>
    <x v="2"/>
    <x v="8"/>
    <x v="1"/>
    <x v="0"/>
    <x v="0"/>
    <x v="11"/>
    <x v="0"/>
    <x v="0"/>
    <x v="0"/>
  </r>
  <r>
    <x v="7"/>
    <x v="29"/>
    <x v="0"/>
    <x v="0"/>
    <x v="0"/>
    <x v="1"/>
    <x v="1"/>
    <x v="1"/>
    <x v="8"/>
    <x v="1"/>
    <x v="1"/>
    <x v="0"/>
  </r>
  <r>
    <x v="8"/>
    <x v="25"/>
    <x v="1"/>
    <x v="1"/>
    <x v="3"/>
    <x v="3"/>
    <x v="1"/>
    <x v="0"/>
    <x v="9"/>
    <x v="1"/>
    <x v="0"/>
    <x v="0"/>
  </r>
  <r>
    <x v="9"/>
    <x v="7"/>
    <x v="1"/>
    <x v="4"/>
    <x v="7"/>
    <x v="8"/>
    <x v="1"/>
    <x v="0"/>
    <x v="7"/>
    <x v="0"/>
    <x v="1"/>
    <x v="0"/>
  </r>
  <r>
    <x v="10"/>
    <x v="31"/>
    <x v="1"/>
    <x v="0"/>
    <x v="2"/>
    <x v="9"/>
    <x v="3"/>
    <x v="0"/>
    <x v="1"/>
    <x v="1"/>
    <x v="1"/>
    <x v="0"/>
  </r>
  <r>
    <x v="11"/>
    <x v="39"/>
    <x v="0"/>
    <x v="4"/>
    <x v="13"/>
    <x v="0"/>
    <x v="2"/>
    <x v="1"/>
    <x v="13"/>
    <x v="0"/>
    <x v="0"/>
    <x v="1"/>
  </r>
  <r>
    <x v="12"/>
    <x v="28"/>
    <x v="0"/>
    <x v="1"/>
    <x v="10"/>
    <x v="3"/>
    <x v="1"/>
    <x v="1"/>
    <x v="5"/>
    <x v="0"/>
    <x v="1"/>
    <x v="0"/>
  </r>
  <r>
    <x v="13"/>
    <x v="22"/>
    <x v="1"/>
    <x v="4"/>
    <x v="5"/>
    <x v="1"/>
    <x v="0"/>
    <x v="1"/>
    <x v="5"/>
    <x v="0"/>
    <x v="0"/>
    <x v="0"/>
  </r>
  <r>
    <x v="14"/>
    <x v="39"/>
    <x v="0"/>
    <x v="1"/>
    <x v="10"/>
    <x v="9"/>
    <x v="1"/>
    <x v="1"/>
    <x v="9"/>
    <x v="0"/>
    <x v="1"/>
    <x v="0"/>
  </r>
  <r>
    <x v="15"/>
    <x v="54"/>
    <x v="0"/>
    <x v="0"/>
    <x v="2"/>
    <x v="6"/>
    <x v="1"/>
    <x v="0"/>
    <x v="1"/>
    <x v="1"/>
    <x v="0"/>
    <x v="0"/>
  </r>
  <r>
    <x v="16"/>
    <x v="3"/>
    <x v="1"/>
    <x v="1"/>
    <x v="10"/>
    <x v="8"/>
    <x v="3"/>
    <x v="0"/>
    <x v="9"/>
    <x v="2"/>
    <x v="1"/>
    <x v="0"/>
  </r>
  <r>
    <x v="17"/>
    <x v="53"/>
    <x v="0"/>
    <x v="0"/>
    <x v="2"/>
    <x v="12"/>
    <x v="0"/>
    <x v="1"/>
    <x v="9"/>
    <x v="3"/>
    <x v="0"/>
    <x v="1"/>
  </r>
  <r>
    <x v="18"/>
    <x v="34"/>
    <x v="0"/>
    <x v="0"/>
    <x v="0"/>
    <x v="12"/>
    <x v="2"/>
    <x v="0"/>
    <x v="1"/>
    <x v="2"/>
    <x v="1"/>
    <x v="0"/>
  </r>
  <r>
    <x v="19"/>
    <x v="2"/>
    <x v="1"/>
    <x v="4"/>
    <x v="5"/>
    <x v="0"/>
    <x v="2"/>
    <x v="1"/>
    <x v="12"/>
    <x v="0"/>
    <x v="0"/>
    <x v="0"/>
  </r>
  <r>
    <x v="20"/>
    <x v="7"/>
    <x v="1"/>
    <x v="2"/>
    <x v="8"/>
    <x v="3"/>
    <x v="1"/>
    <x v="0"/>
    <x v="7"/>
    <x v="1"/>
    <x v="0"/>
    <x v="0"/>
  </r>
  <r>
    <x v="21"/>
    <x v="10"/>
    <x v="0"/>
    <x v="2"/>
    <x v="12"/>
    <x v="1"/>
    <x v="1"/>
    <x v="0"/>
    <x v="6"/>
    <x v="2"/>
    <x v="0"/>
    <x v="0"/>
  </r>
  <r>
    <x v="22"/>
    <x v="0"/>
    <x v="0"/>
    <x v="0"/>
    <x v="0"/>
    <x v="12"/>
    <x v="7"/>
    <x v="0"/>
    <x v="3"/>
    <x v="0"/>
    <x v="0"/>
    <x v="1"/>
  </r>
  <r>
    <x v="23"/>
    <x v="8"/>
    <x v="1"/>
    <x v="1"/>
    <x v="6"/>
    <x v="3"/>
    <x v="1"/>
    <x v="0"/>
    <x v="12"/>
    <x v="0"/>
    <x v="1"/>
    <x v="0"/>
  </r>
  <r>
    <x v="24"/>
    <x v="33"/>
    <x v="1"/>
    <x v="4"/>
    <x v="5"/>
    <x v="4"/>
    <x v="3"/>
    <x v="0"/>
    <x v="0"/>
    <x v="1"/>
    <x v="0"/>
    <x v="1"/>
  </r>
  <r>
    <x v="25"/>
    <x v="26"/>
    <x v="0"/>
    <x v="4"/>
    <x v="7"/>
    <x v="9"/>
    <x v="2"/>
    <x v="0"/>
    <x v="9"/>
    <x v="1"/>
    <x v="1"/>
    <x v="0"/>
  </r>
  <r>
    <x v="26"/>
    <x v="36"/>
    <x v="0"/>
    <x v="3"/>
    <x v="9"/>
    <x v="8"/>
    <x v="0"/>
    <x v="0"/>
    <x v="8"/>
    <x v="3"/>
    <x v="1"/>
    <x v="0"/>
  </r>
  <r>
    <x v="27"/>
    <x v="10"/>
    <x v="1"/>
    <x v="2"/>
    <x v="12"/>
    <x v="4"/>
    <x v="3"/>
    <x v="1"/>
    <x v="13"/>
    <x v="0"/>
    <x v="1"/>
    <x v="0"/>
  </r>
  <r>
    <x v="28"/>
    <x v="59"/>
    <x v="0"/>
    <x v="0"/>
    <x v="2"/>
    <x v="7"/>
    <x v="1"/>
    <x v="0"/>
    <x v="8"/>
    <x v="1"/>
    <x v="1"/>
    <x v="0"/>
  </r>
  <r>
    <x v="29"/>
    <x v="44"/>
    <x v="1"/>
    <x v="2"/>
    <x v="8"/>
    <x v="4"/>
    <x v="3"/>
    <x v="1"/>
    <x v="12"/>
    <x v="0"/>
    <x v="1"/>
    <x v="0"/>
  </r>
  <r>
    <x v="30"/>
    <x v="9"/>
    <x v="0"/>
    <x v="3"/>
    <x v="11"/>
    <x v="5"/>
    <x v="2"/>
    <x v="1"/>
    <x v="9"/>
    <x v="0"/>
    <x v="0"/>
    <x v="1"/>
  </r>
  <r>
    <x v="31"/>
    <x v="48"/>
    <x v="0"/>
    <x v="3"/>
    <x v="9"/>
    <x v="11"/>
    <x v="2"/>
    <x v="0"/>
    <x v="13"/>
    <x v="1"/>
    <x v="0"/>
    <x v="0"/>
  </r>
  <r>
    <x v="32"/>
    <x v="14"/>
    <x v="0"/>
    <x v="4"/>
    <x v="7"/>
    <x v="4"/>
    <x v="5"/>
    <x v="1"/>
    <x v="6"/>
    <x v="0"/>
    <x v="1"/>
    <x v="1"/>
  </r>
  <r>
    <x v="33"/>
    <x v="67"/>
    <x v="0"/>
    <x v="1"/>
    <x v="3"/>
    <x v="9"/>
    <x v="0"/>
    <x v="1"/>
    <x v="9"/>
    <x v="2"/>
    <x v="1"/>
    <x v="0"/>
  </r>
  <r>
    <x v="34"/>
    <x v="25"/>
    <x v="1"/>
    <x v="4"/>
    <x v="7"/>
    <x v="11"/>
    <x v="0"/>
    <x v="0"/>
    <x v="0"/>
    <x v="0"/>
    <x v="1"/>
    <x v="0"/>
  </r>
  <r>
    <x v="35"/>
    <x v="50"/>
    <x v="1"/>
    <x v="1"/>
    <x v="6"/>
    <x v="13"/>
    <x v="0"/>
    <x v="1"/>
    <x v="8"/>
    <x v="1"/>
    <x v="0"/>
    <x v="1"/>
  </r>
  <r>
    <x v="36"/>
    <x v="45"/>
    <x v="0"/>
    <x v="3"/>
    <x v="1"/>
    <x v="0"/>
    <x v="2"/>
    <x v="0"/>
    <x v="2"/>
    <x v="3"/>
    <x v="1"/>
    <x v="0"/>
  </r>
  <r>
    <x v="37"/>
    <x v="18"/>
    <x v="0"/>
    <x v="0"/>
    <x v="4"/>
    <x v="6"/>
    <x v="0"/>
    <x v="1"/>
    <x v="2"/>
    <x v="3"/>
    <x v="1"/>
    <x v="0"/>
  </r>
  <r>
    <x v="38"/>
    <x v="12"/>
    <x v="1"/>
    <x v="1"/>
    <x v="10"/>
    <x v="1"/>
    <x v="1"/>
    <x v="0"/>
    <x v="8"/>
    <x v="1"/>
    <x v="1"/>
    <x v="0"/>
  </r>
  <r>
    <x v="39"/>
    <x v="42"/>
    <x v="1"/>
    <x v="4"/>
    <x v="7"/>
    <x v="12"/>
    <x v="2"/>
    <x v="1"/>
    <x v="3"/>
    <x v="0"/>
    <x v="0"/>
    <x v="1"/>
  </r>
  <r>
    <x v="40"/>
    <x v="27"/>
    <x v="1"/>
    <x v="0"/>
    <x v="2"/>
    <x v="0"/>
    <x v="1"/>
    <x v="1"/>
    <x v="1"/>
    <x v="1"/>
    <x v="1"/>
    <x v="0"/>
  </r>
  <r>
    <x v="41"/>
    <x v="65"/>
    <x v="0"/>
    <x v="3"/>
    <x v="1"/>
    <x v="2"/>
    <x v="0"/>
    <x v="0"/>
    <x v="12"/>
    <x v="0"/>
    <x v="1"/>
    <x v="0"/>
  </r>
  <r>
    <x v="42"/>
    <x v="12"/>
    <x v="1"/>
    <x v="2"/>
    <x v="12"/>
    <x v="13"/>
    <x v="2"/>
    <x v="0"/>
    <x v="2"/>
    <x v="1"/>
    <x v="0"/>
    <x v="1"/>
  </r>
  <r>
    <x v="43"/>
    <x v="10"/>
    <x v="1"/>
    <x v="0"/>
    <x v="4"/>
    <x v="10"/>
    <x v="1"/>
    <x v="0"/>
    <x v="9"/>
    <x v="2"/>
    <x v="0"/>
    <x v="0"/>
  </r>
  <r>
    <x v="44"/>
    <x v="38"/>
    <x v="0"/>
    <x v="0"/>
    <x v="0"/>
    <x v="7"/>
    <x v="1"/>
    <x v="0"/>
    <x v="12"/>
    <x v="1"/>
    <x v="1"/>
    <x v="0"/>
  </r>
  <r>
    <x v="45"/>
    <x v="60"/>
    <x v="0"/>
    <x v="3"/>
    <x v="9"/>
    <x v="9"/>
    <x v="1"/>
    <x v="1"/>
    <x v="10"/>
    <x v="1"/>
    <x v="1"/>
    <x v="0"/>
  </r>
  <r>
    <x v="46"/>
    <x v="58"/>
    <x v="1"/>
    <x v="4"/>
    <x v="5"/>
    <x v="0"/>
    <x v="2"/>
    <x v="0"/>
    <x v="9"/>
    <x v="0"/>
    <x v="0"/>
    <x v="0"/>
  </r>
  <r>
    <x v="47"/>
    <x v="50"/>
    <x v="0"/>
    <x v="2"/>
    <x v="12"/>
    <x v="12"/>
    <x v="1"/>
    <x v="0"/>
    <x v="4"/>
    <x v="1"/>
    <x v="1"/>
    <x v="0"/>
  </r>
  <r>
    <x v="48"/>
    <x v="41"/>
    <x v="0"/>
    <x v="1"/>
    <x v="3"/>
    <x v="10"/>
    <x v="2"/>
    <x v="0"/>
    <x v="8"/>
    <x v="0"/>
    <x v="1"/>
    <x v="0"/>
  </r>
  <r>
    <x v="49"/>
    <x v="31"/>
    <x v="1"/>
    <x v="2"/>
    <x v="14"/>
    <x v="7"/>
    <x v="2"/>
    <x v="0"/>
    <x v="13"/>
    <x v="1"/>
    <x v="1"/>
    <x v="0"/>
  </r>
  <r>
    <x v="50"/>
    <x v="6"/>
    <x v="0"/>
    <x v="2"/>
    <x v="14"/>
    <x v="11"/>
    <x v="0"/>
    <x v="0"/>
    <x v="12"/>
    <x v="2"/>
    <x v="1"/>
    <x v="0"/>
  </r>
  <r>
    <x v="51"/>
    <x v="31"/>
    <x v="1"/>
    <x v="1"/>
    <x v="3"/>
    <x v="5"/>
    <x v="0"/>
    <x v="1"/>
    <x v="10"/>
    <x v="0"/>
    <x v="1"/>
    <x v="0"/>
  </r>
  <r>
    <x v="52"/>
    <x v="35"/>
    <x v="1"/>
    <x v="1"/>
    <x v="6"/>
    <x v="0"/>
    <x v="0"/>
    <x v="1"/>
    <x v="8"/>
    <x v="0"/>
    <x v="1"/>
    <x v="0"/>
  </r>
  <r>
    <x v="53"/>
    <x v="1"/>
    <x v="0"/>
    <x v="4"/>
    <x v="7"/>
    <x v="3"/>
    <x v="0"/>
    <x v="0"/>
    <x v="12"/>
    <x v="1"/>
    <x v="1"/>
    <x v="0"/>
  </r>
  <r>
    <x v="54"/>
    <x v="10"/>
    <x v="1"/>
    <x v="4"/>
    <x v="5"/>
    <x v="8"/>
    <x v="1"/>
    <x v="0"/>
    <x v="12"/>
    <x v="0"/>
    <x v="1"/>
    <x v="0"/>
  </r>
  <r>
    <x v="55"/>
    <x v="23"/>
    <x v="0"/>
    <x v="4"/>
    <x v="7"/>
    <x v="0"/>
    <x v="2"/>
    <x v="1"/>
    <x v="5"/>
    <x v="1"/>
    <x v="1"/>
    <x v="0"/>
  </r>
  <r>
    <x v="56"/>
    <x v="56"/>
    <x v="0"/>
    <x v="2"/>
    <x v="14"/>
    <x v="3"/>
    <x v="1"/>
    <x v="0"/>
    <x v="12"/>
    <x v="0"/>
    <x v="1"/>
    <x v="0"/>
  </r>
  <r>
    <x v="57"/>
    <x v="7"/>
    <x v="0"/>
    <x v="0"/>
    <x v="0"/>
    <x v="8"/>
    <x v="1"/>
    <x v="0"/>
    <x v="1"/>
    <x v="0"/>
    <x v="0"/>
    <x v="0"/>
  </r>
  <r>
    <x v="58"/>
    <x v="43"/>
    <x v="0"/>
    <x v="4"/>
    <x v="5"/>
    <x v="5"/>
    <x v="1"/>
    <x v="0"/>
    <x v="7"/>
    <x v="0"/>
    <x v="1"/>
    <x v="0"/>
  </r>
  <r>
    <x v="59"/>
    <x v="16"/>
    <x v="0"/>
    <x v="3"/>
    <x v="11"/>
    <x v="0"/>
    <x v="0"/>
    <x v="1"/>
    <x v="11"/>
    <x v="0"/>
    <x v="1"/>
    <x v="0"/>
  </r>
  <r>
    <x v="60"/>
    <x v="29"/>
    <x v="1"/>
    <x v="0"/>
    <x v="2"/>
    <x v="6"/>
    <x v="1"/>
    <x v="0"/>
    <x v="5"/>
    <x v="2"/>
    <x v="0"/>
    <x v="0"/>
  </r>
  <r>
    <x v="61"/>
    <x v="42"/>
    <x v="0"/>
    <x v="4"/>
    <x v="13"/>
    <x v="13"/>
    <x v="1"/>
    <x v="0"/>
    <x v="8"/>
    <x v="0"/>
    <x v="1"/>
    <x v="0"/>
  </r>
  <r>
    <x v="62"/>
    <x v="61"/>
    <x v="0"/>
    <x v="1"/>
    <x v="10"/>
    <x v="5"/>
    <x v="0"/>
    <x v="1"/>
    <x v="5"/>
    <x v="0"/>
    <x v="1"/>
    <x v="0"/>
  </r>
  <r>
    <x v="63"/>
    <x v="66"/>
    <x v="0"/>
    <x v="3"/>
    <x v="9"/>
    <x v="12"/>
    <x v="1"/>
    <x v="1"/>
    <x v="0"/>
    <x v="0"/>
    <x v="1"/>
    <x v="0"/>
  </r>
  <r>
    <x v="64"/>
    <x v="55"/>
    <x v="0"/>
    <x v="4"/>
    <x v="7"/>
    <x v="2"/>
    <x v="1"/>
    <x v="0"/>
    <x v="9"/>
    <x v="0"/>
    <x v="0"/>
    <x v="0"/>
  </r>
  <r>
    <x v="65"/>
    <x v="22"/>
    <x v="1"/>
    <x v="0"/>
    <x v="4"/>
    <x v="10"/>
    <x v="2"/>
    <x v="1"/>
    <x v="3"/>
    <x v="0"/>
    <x v="1"/>
    <x v="1"/>
  </r>
  <r>
    <x v="66"/>
    <x v="11"/>
    <x v="1"/>
    <x v="0"/>
    <x v="2"/>
    <x v="5"/>
    <x v="1"/>
    <x v="0"/>
    <x v="10"/>
    <x v="2"/>
    <x v="1"/>
    <x v="0"/>
  </r>
  <r>
    <x v="67"/>
    <x v="49"/>
    <x v="0"/>
    <x v="1"/>
    <x v="6"/>
    <x v="7"/>
    <x v="2"/>
    <x v="0"/>
    <x v="12"/>
    <x v="0"/>
    <x v="1"/>
    <x v="0"/>
  </r>
  <r>
    <x v="68"/>
    <x v="71"/>
    <x v="0"/>
    <x v="0"/>
    <x v="0"/>
    <x v="4"/>
    <x v="2"/>
    <x v="1"/>
    <x v="10"/>
    <x v="0"/>
    <x v="0"/>
    <x v="1"/>
  </r>
  <r>
    <x v="69"/>
    <x v="3"/>
    <x v="1"/>
    <x v="1"/>
    <x v="10"/>
    <x v="3"/>
    <x v="3"/>
    <x v="1"/>
    <x v="10"/>
    <x v="0"/>
    <x v="1"/>
    <x v="0"/>
  </r>
  <r>
    <x v="70"/>
    <x v="7"/>
    <x v="1"/>
    <x v="4"/>
    <x v="13"/>
    <x v="1"/>
    <x v="2"/>
    <x v="0"/>
    <x v="13"/>
    <x v="0"/>
    <x v="1"/>
    <x v="0"/>
  </r>
  <r>
    <x v="71"/>
    <x v="55"/>
    <x v="0"/>
    <x v="4"/>
    <x v="13"/>
    <x v="3"/>
    <x v="1"/>
    <x v="0"/>
    <x v="1"/>
    <x v="3"/>
    <x v="0"/>
    <x v="0"/>
  </r>
  <r>
    <x v="72"/>
    <x v="54"/>
    <x v="1"/>
    <x v="4"/>
    <x v="5"/>
    <x v="3"/>
    <x v="1"/>
    <x v="0"/>
    <x v="3"/>
    <x v="1"/>
    <x v="1"/>
    <x v="0"/>
  </r>
  <r>
    <x v="73"/>
    <x v="7"/>
    <x v="1"/>
    <x v="1"/>
    <x v="6"/>
    <x v="11"/>
    <x v="1"/>
    <x v="0"/>
    <x v="5"/>
    <x v="0"/>
    <x v="1"/>
    <x v="0"/>
  </r>
  <r>
    <x v="74"/>
    <x v="15"/>
    <x v="1"/>
    <x v="0"/>
    <x v="4"/>
    <x v="6"/>
    <x v="0"/>
    <x v="1"/>
    <x v="11"/>
    <x v="0"/>
    <x v="1"/>
    <x v="0"/>
  </r>
  <r>
    <x v="75"/>
    <x v="32"/>
    <x v="1"/>
    <x v="4"/>
    <x v="5"/>
    <x v="7"/>
    <x v="2"/>
    <x v="1"/>
    <x v="9"/>
    <x v="1"/>
    <x v="0"/>
    <x v="1"/>
  </r>
  <r>
    <x v="76"/>
    <x v="26"/>
    <x v="1"/>
    <x v="4"/>
    <x v="5"/>
    <x v="13"/>
    <x v="1"/>
    <x v="0"/>
    <x v="8"/>
    <x v="0"/>
    <x v="1"/>
    <x v="0"/>
  </r>
  <r>
    <x v="77"/>
    <x v="33"/>
    <x v="0"/>
    <x v="4"/>
    <x v="7"/>
    <x v="11"/>
    <x v="1"/>
    <x v="1"/>
    <x v="13"/>
    <x v="3"/>
    <x v="0"/>
    <x v="1"/>
  </r>
  <r>
    <x v="78"/>
    <x v="55"/>
    <x v="1"/>
    <x v="4"/>
    <x v="7"/>
    <x v="4"/>
    <x v="0"/>
    <x v="0"/>
    <x v="5"/>
    <x v="0"/>
    <x v="1"/>
    <x v="0"/>
  </r>
  <r>
    <x v="79"/>
    <x v="34"/>
    <x v="0"/>
    <x v="3"/>
    <x v="9"/>
    <x v="12"/>
    <x v="3"/>
    <x v="0"/>
    <x v="4"/>
    <x v="0"/>
    <x v="1"/>
    <x v="0"/>
  </r>
  <r>
    <x v="80"/>
    <x v="10"/>
    <x v="0"/>
    <x v="2"/>
    <x v="14"/>
    <x v="7"/>
    <x v="1"/>
    <x v="1"/>
    <x v="1"/>
    <x v="2"/>
    <x v="0"/>
    <x v="1"/>
  </r>
  <r>
    <x v="81"/>
    <x v="13"/>
    <x v="0"/>
    <x v="2"/>
    <x v="8"/>
    <x v="5"/>
    <x v="3"/>
    <x v="1"/>
    <x v="4"/>
    <x v="3"/>
    <x v="0"/>
    <x v="1"/>
  </r>
  <r>
    <x v="82"/>
    <x v="35"/>
    <x v="1"/>
    <x v="1"/>
    <x v="3"/>
    <x v="8"/>
    <x v="2"/>
    <x v="0"/>
    <x v="7"/>
    <x v="3"/>
    <x v="1"/>
    <x v="0"/>
  </r>
  <r>
    <x v="83"/>
    <x v="44"/>
    <x v="1"/>
    <x v="3"/>
    <x v="11"/>
    <x v="5"/>
    <x v="0"/>
    <x v="0"/>
    <x v="6"/>
    <x v="0"/>
    <x v="0"/>
    <x v="0"/>
  </r>
  <r>
    <x v="84"/>
    <x v="2"/>
    <x v="0"/>
    <x v="0"/>
    <x v="0"/>
    <x v="5"/>
    <x v="4"/>
    <x v="0"/>
    <x v="4"/>
    <x v="0"/>
    <x v="0"/>
    <x v="0"/>
  </r>
  <r>
    <x v="85"/>
    <x v="48"/>
    <x v="0"/>
    <x v="1"/>
    <x v="3"/>
    <x v="1"/>
    <x v="2"/>
    <x v="0"/>
    <x v="11"/>
    <x v="0"/>
    <x v="1"/>
    <x v="0"/>
  </r>
  <r>
    <x v="86"/>
    <x v="45"/>
    <x v="1"/>
    <x v="1"/>
    <x v="6"/>
    <x v="4"/>
    <x v="1"/>
    <x v="1"/>
    <x v="6"/>
    <x v="1"/>
    <x v="1"/>
    <x v="0"/>
  </r>
  <r>
    <x v="87"/>
    <x v="57"/>
    <x v="1"/>
    <x v="3"/>
    <x v="1"/>
    <x v="1"/>
    <x v="2"/>
    <x v="0"/>
    <x v="0"/>
    <x v="3"/>
    <x v="1"/>
    <x v="0"/>
  </r>
  <r>
    <x v="88"/>
    <x v="18"/>
    <x v="1"/>
    <x v="1"/>
    <x v="6"/>
    <x v="11"/>
    <x v="1"/>
    <x v="0"/>
    <x v="3"/>
    <x v="3"/>
    <x v="0"/>
    <x v="0"/>
  </r>
  <r>
    <x v="89"/>
    <x v="50"/>
    <x v="0"/>
    <x v="2"/>
    <x v="8"/>
    <x v="11"/>
    <x v="3"/>
    <x v="1"/>
    <x v="7"/>
    <x v="0"/>
    <x v="1"/>
    <x v="1"/>
  </r>
  <r>
    <x v="90"/>
    <x v="23"/>
    <x v="1"/>
    <x v="2"/>
    <x v="12"/>
    <x v="11"/>
    <x v="2"/>
    <x v="1"/>
    <x v="9"/>
    <x v="3"/>
    <x v="1"/>
    <x v="0"/>
  </r>
  <r>
    <x v="91"/>
    <x v="52"/>
    <x v="0"/>
    <x v="0"/>
    <x v="4"/>
    <x v="1"/>
    <x v="1"/>
    <x v="0"/>
    <x v="12"/>
    <x v="3"/>
    <x v="1"/>
    <x v="0"/>
  </r>
  <r>
    <x v="92"/>
    <x v="21"/>
    <x v="1"/>
    <x v="4"/>
    <x v="7"/>
    <x v="8"/>
    <x v="0"/>
    <x v="1"/>
    <x v="2"/>
    <x v="0"/>
    <x v="1"/>
    <x v="0"/>
  </r>
  <r>
    <x v="93"/>
    <x v="11"/>
    <x v="0"/>
    <x v="1"/>
    <x v="3"/>
    <x v="5"/>
    <x v="0"/>
    <x v="0"/>
    <x v="5"/>
    <x v="1"/>
    <x v="0"/>
    <x v="0"/>
  </r>
  <r>
    <x v="94"/>
    <x v="7"/>
    <x v="1"/>
    <x v="2"/>
    <x v="8"/>
    <x v="5"/>
    <x v="2"/>
    <x v="1"/>
    <x v="2"/>
    <x v="1"/>
    <x v="1"/>
    <x v="0"/>
  </r>
  <r>
    <x v="95"/>
    <x v="43"/>
    <x v="0"/>
    <x v="1"/>
    <x v="6"/>
    <x v="12"/>
    <x v="0"/>
    <x v="0"/>
    <x v="0"/>
    <x v="2"/>
    <x v="1"/>
    <x v="0"/>
  </r>
  <r>
    <x v="96"/>
    <x v="18"/>
    <x v="1"/>
    <x v="0"/>
    <x v="4"/>
    <x v="4"/>
    <x v="2"/>
    <x v="0"/>
    <x v="11"/>
    <x v="0"/>
    <x v="0"/>
    <x v="0"/>
  </r>
  <r>
    <x v="97"/>
    <x v="35"/>
    <x v="1"/>
    <x v="0"/>
    <x v="2"/>
    <x v="0"/>
    <x v="4"/>
    <x v="0"/>
    <x v="3"/>
    <x v="0"/>
    <x v="1"/>
    <x v="0"/>
  </r>
  <r>
    <x v="98"/>
    <x v="34"/>
    <x v="1"/>
    <x v="4"/>
    <x v="13"/>
    <x v="10"/>
    <x v="0"/>
    <x v="0"/>
    <x v="1"/>
    <x v="0"/>
    <x v="1"/>
    <x v="0"/>
  </r>
  <r>
    <x v="99"/>
    <x v="67"/>
    <x v="0"/>
    <x v="2"/>
    <x v="12"/>
    <x v="9"/>
    <x v="2"/>
    <x v="1"/>
    <x v="5"/>
    <x v="0"/>
    <x v="0"/>
    <x v="1"/>
  </r>
  <r>
    <x v="100"/>
    <x v="63"/>
    <x v="1"/>
    <x v="1"/>
    <x v="6"/>
    <x v="4"/>
    <x v="1"/>
    <x v="0"/>
    <x v="10"/>
    <x v="1"/>
    <x v="0"/>
    <x v="0"/>
  </r>
  <r>
    <x v="101"/>
    <x v="3"/>
    <x v="1"/>
    <x v="1"/>
    <x v="10"/>
    <x v="1"/>
    <x v="1"/>
    <x v="0"/>
    <x v="5"/>
    <x v="0"/>
    <x v="0"/>
    <x v="0"/>
  </r>
  <r>
    <x v="102"/>
    <x v="28"/>
    <x v="0"/>
    <x v="3"/>
    <x v="11"/>
    <x v="2"/>
    <x v="2"/>
    <x v="1"/>
    <x v="2"/>
    <x v="1"/>
    <x v="1"/>
    <x v="0"/>
  </r>
  <r>
    <x v="103"/>
    <x v="48"/>
    <x v="0"/>
    <x v="4"/>
    <x v="7"/>
    <x v="5"/>
    <x v="1"/>
    <x v="0"/>
    <x v="3"/>
    <x v="0"/>
    <x v="1"/>
    <x v="0"/>
  </r>
  <r>
    <x v="104"/>
    <x v="8"/>
    <x v="1"/>
    <x v="1"/>
    <x v="3"/>
    <x v="4"/>
    <x v="0"/>
    <x v="1"/>
    <x v="10"/>
    <x v="1"/>
    <x v="1"/>
    <x v="0"/>
  </r>
  <r>
    <x v="105"/>
    <x v="3"/>
    <x v="1"/>
    <x v="2"/>
    <x v="12"/>
    <x v="7"/>
    <x v="0"/>
    <x v="1"/>
    <x v="0"/>
    <x v="1"/>
    <x v="1"/>
    <x v="0"/>
  </r>
  <r>
    <x v="106"/>
    <x v="5"/>
    <x v="0"/>
    <x v="3"/>
    <x v="11"/>
    <x v="0"/>
    <x v="0"/>
    <x v="1"/>
    <x v="9"/>
    <x v="0"/>
    <x v="0"/>
    <x v="0"/>
  </r>
  <r>
    <x v="107"/>
    <x v="10"/>
    <x v="0"/>
    <x v="2"/>
    <x v="8"/>
    <x v="13"/>
    <x v="2"/>
    <x v="0"/>
    <x v="7"/>
    <x v="3"/>
    <x v="0"/>
    <x v="0"/>
  </r>
  <r>
    <x v="108"/>
    <x v="68"/>
    <x v="0"/>
    <x v="4"/>
    <x v="5"/>
    <x v="7"/>
    <x v="0"/>
    <x v="0"/>
    <x v="4"/>
    <x v="0"/>
    <x v="1"/>
    <x v="0"/>
  </r>
  <r>
    <x v="109"/>
    <x v="59"/>
    <x v="1"/>
    <x v="4"/>
    <x v="13"/>
    <x v="8"/>
    <x v="1"/>
    <x v="1"/>
    <x v="7"/>
    <x v="0"/>
    <x v="1"/>
    <x v="1"/>
  </r>
  <r>
    <x v="110"/>
    <x v="47"/>
    <x v="1"/>
    <x v="3"/>
    <x v="11"/>
    <x v="7"/>
    <x v="0"/>
    <x v="0"/>
    <x v="3"/>
    <x v="0"/>
    <x v="1"/>
    <x v="0"/>
  </r>
  <r>
    <x v="111"/>
    <x v="70"/>
    <x v="1"/>
    <x v="4"/>
    <x v="5"/>
    <x v="3"/>
    <x v="1"/>
    <x v="0"/>
    <x v="4"/>
    <x v="1"/>
    <x v="0"/>
    <x v="0"/>
  </r>
  <r>
    <x v="112"/>
    <x v="18"/>
    <x v="1"/>
    <x v="3"/>
    <x v="11"/>
    <x v="6"/>
    <x v="1"/>
    <x v="1"/>
    <x v="5"/>
    <x v="1"/>
    <x v="1"/>
    <x v="0"/>
  </r>
  <r>
    <x v="113"/>
    <x v="51"/>
    <x v="0"/>
    <x v="0"/>
    <x v="2"/>
    <x v="7"/>
    <x v="1"/>
    <x v="0"/>
    <x v="7"/>
    <x v="0"/>
    <x v="1"/>
    <x v="0"/>
  </r>
  <r>
    <x v="114"/>
    <x v="30"/>
    <x v="0"/>
    <x v="3"/>
    <x v="11"/>
    <x v="0"/>
    <x v="0"/>
    <x v="0"/>
    <x v="1"/>
    <x v="0"/>
    <x v="0"/>
    <x v="0"/>
  </r>
  <r>
    <x v="115"/>
    <x v="66"/>
    <x v="0"/>
    <x v="0"/>
    <x v="4"/>
    <x v="2"/>
    <x v="0"/>
    <x v="1"/>
    <x v="2"/>
    <x v="2"/>
    <x v="0"/>
    <x v="1"/>
  </r>
  <r>
    <x v="116"/>
    <x v="31"/>
    <x v="1"/>
    <x v="0"/>
    <x v="4"/>
    <x v="3"/>
    <x v="1"/>
    <x v="0"/>
    <x v="1"/>
    <x v="0"/>
    <x v="1"/>
    <x v="0"/>
  </r>
  <r>
    <x v="117"/>
    <x v="54"/>
    <x v="0"/>
    <x v="3"/>
    <x v="1"/>
    <x v="8"/>
    <x v="1"/>
    <x v="0"/>
    <x v="10"/>
    <x v="0"/>
    <x v="0"/>
    <x v="0"/>
  </r>
  <r>
    <x v="118"/>
    <x v="34"/>
    <x v="0"/>
    <x v="0"/>
    <x v="2"/>
    <x v="3"/>
    <x v="2"/>
    <x v="0"/>
    <x v="13"/>
    <x v="1"/>
    <x v="0"/>
    <x v="1"/>
  </r>
  <r>
    <x v="119"/>
    <x v="34"/>
    <x v="1"/>
    <x v="4"/>
    <x v="13"/>
    <x v="11"/>
    <x v="4"/>
    <x v="0"/>
    <x v="2"/>
    <x v="0"/>
    <x v="1"/>
    <x v="0"/>
  </r>
  <r>
    <x v="120"/>
    <x v="20"/>
    <x v="0"/>
    <x v="2"/>
    <x v="12"/>
    <x v="6"/>
    <x v="1"/>
    <x v="0"/>
    <x v="3"/>
    <x v="3"/>
    <x v="1"/>
    <x v="0"/>
  </r>
  <r>
    <x v="121"/>
    <x v="27"/>
    <x v="1"/>
    <x v="0"/>
    <x v="2"/>
    <x v="2"/>
    <x v="1"/>
    <x v="1"/>
    <x v="5"/>
    <x v="1"/>
    <x v="0"/>
    <x v="1"/>
  </r>
  <r>
    <x v="122"/>
    <x v="59"/>
    <x v="0"/>
    <x v="1"/>
    <x v="10"/>
    <x v="12"/>
    <x v="2"/>
    <x v="1"/>
    <x v="6"/>
    <x v="2"/>
    <x v="1"/>
    <x v="1"/>
  </r>
  <r>
    <x v="123"/>
    <x v="11"/>
    <x v="1"/>
    <x v="0"/>
    <x v="0"/>
    <x v="6"/>
    <x v="2"/>
    <x v="0"/>
    <x v="8"/>
    <x v="3"/>
    <x v="1"/>
    <x v="0"/>
  </r>
  <r>
    <x v="124"/>
    <x v="36"/>
    <x v="1"/>
    <x v="3"/>
    <x v="1"/>
    <x v="9"/>
    <x v="2"/>
    <x v="1"/>
    <x v="3"/>
    <x v="0"/>
    <x v="0"/>
    <x v="1"/>
  </r>
  <r>
    <x v="125"/>
    <x v="8"/>
    <x v="1"/>
    <x v="4"/>
    <x v="13"/>
    <x v="9"/>
    <x v="0"/>
    <x v="1"/>
    <x v="6"/>
    <x v="0"/>
    <x v="0"/>
    <x v="0"/>
  </r>
  <r>
    <x v="126"/>
    <x v="30"/>
    <x v="0"/>
    <x v="0"/>
    <x v="0"/>
    <x v="0"/>
    <x v="1"/>
    <x v="0"/>
    <x v="9"/>
    <x v="0"/>
    <x v="1"/>
    <x v="0"/>
  </r>
  <r>
    <x v="127"/>
    <x v="31"/>
    <x v="0"/>
    <x v="0"/>
    <x v="0"/>
    <x v="11"/>
    <x v="0"/>
    <x v="0"/>
    <x v="6"/>
    <x v="1"/>
    <x v="1"/>
    <x v="0"/>
  </r>
  <r>
    <x v="128"/>
    <x v="34"/>
    <x v="0"/>
    <x v="0"/>
    <x v="2"/>
    <x v="13"/>
    <x v="3"/>
    <x v="0"/>
    <x v="0"/>
    <x v="0"/>
    <x v="1"/>
    <x v="0"/>
  </r>
  <r>
    <x v="129"/>
    <x v="12"/>
    <x v="1"/>
    <x v="1"/>
    <x v="10"/>
    <x v="11"/>
    <x v="1"/>
    <x v="0"/>
    <x v="9"/>
    <x v="0"/>
    <x v="1"/>
    <x v="0"/>
  </r>
  <r>
    <x v="130"/>
    <x v="65"/>
    <x v="0"/>
    <x v="1"/>
    <x v="6"/>
    <x v="5"/>
    <x v="1"/>
    <x v="0"/>
    <x v="5"/>
    <x v="0"/>
    <x v="1"/>
    <x v="0"/>
  </r>
  <r>
    <x v="131"/>
    <x v="2"/>
    <x v="1"/>
    <x v="0"/>
    <x v="0"/>
    <x v="3"/>
    <x v="4"/>
    <x v="0"/>
    <x v="12"/>
    <x v="0"/>
    <x v="1"/>
    <x v="0"/>
  </r>
  <r>
    <x v="132"/>
    <x v="25"/>
    <x v="0"/>
    <x v="3"/>
    <x v="9"/>
    <x v="5"/>
    <x v="2"/>
    <x v="1"/>
    <x v="10"/>
    <x v="0"/>
    <x v="1"/>
    <x v="1"/>
  </r>
  <r>
    <x v="133"/>
    <x v="41"/>
    <x v="1"/>
    <x v="4"/>
    <x v="13"/>
    <x v="3"/>
    <x v="1"/>
    <x v="0"/>
    <x v="6"/>
    <x v="1"/>
    <x v="1"/>
    <x v="0"/>
  </r>
  <r>
    <x v="134"/>
    <x v="3"/>
    <x v="0"/>
    <x v="3"/>
    <x v="11"/>
    <x v="8"/>
    <x v="1"/>
    <x v="1"/>
    <x v="6"/>
    <x v="1"/>
    <x v="1"/>
    <x v="0"/>
  </r>
  <r>
    <x v="135"/>
    <x v="34"/>
    <x v="1"/>
    <x v="1"/>
    <x v="3"/>
    <x v="3"/>
    <x v="1"/>
    <x v="1"/>
    <x v="0"/>
    <x v="0"/>
    <x v="1"/>
    <x v="0"/>
  </r>
  <r>
    <x v="136"/>
    <x v="42"/>
    <x v="0"/>
    <x v="0"/>
    <x v="4"/>
    <x v="11"/>
    <x v="4"/>
    <x v="0"/>
    <x v="9"/>
    <x v="2"/>
    <x v="1"/>
    <x v="0"/>
  </r>
  <r>
    <x v="137"/>
    <x v="0"/>
    <x v="1"/>
    <x v="0"/>
    <x v="4"/>
    <x v="9"/>
    <x v="0"/>
    <x v="0"/>
    <x v="5"/>
    <x v="0"/>
    <x v="1"/>
    <x v="0"/>
  </r>
  <r>
    <x v="138"/>
    <x v="17"/>
    <x v="1"/>
    <x v="2"/>
    <x v="12"/>
    <x v="7"/>
    <x v="1"/>
    <x v="0"/>
    <x v="1"/>
    <x v="2"/>
    <x v="1"/>
    <x v="0"/>
  </r>
  <r>
    <x v="139"/>
    <x v="3"/>
    <x v="0"/>
    <x v="4"/>
    <x v="5"/>
    <x v="2"/>
    <x v="0"/>
    <x v="0"/>
    <x v="10"/>
    <x v="0"/>
    <x v="0"/>
    <x v="0"/>
  </r>
  <r>
    <x v="140"/>
    <x v="14"/>
    <x v="0"/>
    <x v="4"/>
    <x v="7"/>
    <x v="11"/>
    <x v="1"/>
    <x v="0"/>
    <x v="2"/>
    <x v="3"/>
    <x v="1"/>
    <x v="0"/>
  </r>
  <r>
    <x v="141"/>
    <x v="5"/>
    <x v="0"/>
    <x v="1"/>
    <x v="10"/>
    <x v="2"/>
    <x v="0"/>
    <x v="1"/>
    <x v="11"/>
    <x v="3"/>
    <x v="1"/>
    <x v="0"/>
  </r>
  <r>
    <x v="142"/>
    <x v="9"/>
    <x v="1"/>
    <x v="2"/>
    <x v="14"/>
    <x v="7"/>
    <x v="1"/>
    <x v="0"/>
    <x v="5"/>
    <x v="3"/>
    <x v="1"/>
    <x v="0"/>
  </r>
  <r>
    <x v="143"/>
    <x v="3"/>
    <x v="1"/>
    <x v="1"/>
    <x v="3"/>
    <x v="6"/>
    <x v="1"/>
    <x v="0"/>
    <x v="2"/>
    <x v="3"/>
    <x v="1"/>
    <x v="0"/>
  </r>
  <r>
    <x v="144"/>
    <x v="11"/>
    <x v="0"/>
    <x v="1"/>
    <x v="3"/>
    <x v="11"/>
    <x v="1"/>
    <x v="1"/>
    <x v="11"/>
    <x v="1"/>
    <x v="1"/>
    <x v="1"/>
  </r>
  <r>
    <x v="145"/>
    <x v="45"/>
    <x v="0"/>
    <x v="3"/>
    <x v="9"/>
    <x v="13"/>
    <x v="4"/>
    <x v="0"/>
    <x v="11"/>
    <x v="0"/>
    <x v="1"/>
    <x v="0"/>
  </r>
  <r>
    <x v="146"/>
    <x v="35"/>
    <x v="0"/>
    <x v="4"/>
    <x v="13"/>
    <x v="8"/>
    <x v="1"/>
    <x v="0"/>
    <x v="6"/>
    <x v="0"/>
    <x v="1"/>
    <x v="0"/>
  </r>
  <r>
    <x v="147"/>
    <x v="10"/>
    <x v="0"/>
    <x v="1"/>
    <x v="3"/>
    <x v="7"/>
    <x v="1"/>
    <x v="0"/>
    <x v="1"/>
    <x v="1"/>
    <x v="1"/>
    <x v="0"/>
  </r>
  <r>
    <x v="148"/>
    <x v="31"/>
    <x v="1"/>
    <x v="4"/>
    <x v="7"/>
    <x v="2"/>
    <x v="1"/>
    <x v="0"/>
    <x v="2"/>
    <x v="0"/>
    <x v="1"/>
    <x v="0"/>
  </r>
  <r>
    <x v="149"/>
    <x v="1"/>
    <x v="0"/>
    <x v="0"/>
    <x v="4"/>
    <x v="11"/>
    <x v="1"/>
    <x v="0"/>
    <x v="9"/>
    <x v="2"/>
    <x v="1"/>
    <x v="0"/>
  </r>
  <r>
    <x v="150"/>
    <x v="43"/>
    <x v="1"/>
    <x v="1"/>
    <x v="10"/>
    <x v="10"/>
    <x v="1"/>
    <x v="0"/>
    <x v="2"/>
    <x v="0"/>
    <x v="1"/>
    <x v="0"/>
  </r>
  <r>
    <x v="151"/>
    <x v="30"/>
    <x v="1"/>
    <x v="0"/>
    <x v="4"/>
    <x v="1"/>
    <x v="0"/>
    <x v="0"/>
    <x v="6"/>
    <x v="3"/>
    <x v="1"/>
    <x v="0"/>
  </r>
  <r>
    <x v="152"/>
    <x v="64"/>
    <x v="0"/>
    <x v="2"/>
    <x v="8"/>
    <x v="10"/>
    <x v="1"/>
    <x v="1"/>
    <x v="8"/>
    <x v="0"/>
    <x v="0"/>
    <x v="1"/>
  </r>
  <r>
    <x v="153"/>
    <x v="66"/>
    <x v="0"/>
    <x v="2"/>
    <x v="8"/>
    <x v="12"/>
    <x v="0"/>
    <x v="1"/>
    <x v="2"/>
    <x v="2"/>
    <x v="1"/>
    <x v="0"/>
  </r>
  <r>
    <x v="154"/>
    <x v="51"/>
    <x v="0"/>
    <x v="1"/>
    <x v="10"/>
    <x v="7"/>
    <x v="1"/>
    <x v="0"/>
    <x v="1"/>
    <x v="0"/>
    <x v="1"/>
    <x v="0"/>
  </r>
  <r>
    <x v="155"/>
    <x v="71"/>
    <x v="1"/>
    <x v="3"/>
    <x v="11"/>
    <x v="1"/>
    <x v="1"/>
    <x v="1"/>
    <x v="9"/>
    <x v="0"/>
    <x v="1"/>
    <x v="0"/>
  </r>
  <r>
    <x v="156"/>
    <x v="23"/>
    <x v="1"/>
    <x v="2"/>
    <x v="12"/>
    <x v="13"/>
    <x v="0"/>
    <x v="1"/>
    <x v="6"/>
    <x v="3"/>
    <x v="1"/>
    <x v="0"/>
  </r>
  <r>
    <x v="157"/>
    <x v="50"/>
    <x v="1"/>
    <x v="4"/>
    <x v="7"/>
    <x v="9"/>
    <x v="0"/>
    <x v="0"/>
    <x v="4"/>
    <x v="2"/>
    <x v="0"/>
    <x v="0"/>
  </r>
  <r>
    <x v="158"/>
    <x v="48"/>
    <x v="0"/>
    <x v="1"/>
    <x v="10"/>
    <x v="1"/>
    <x v="0"/>
    <x v="1"/>
    <x v="0"/>
    <x v="3"/>
    <x v="0"/>
    <x v="1"/>
  </r>
  <r>
    <x v="159"/>
    <x v="53"/>
    <x v="1"/>
    <x v="1"/>
    <x v="3"/>
    <x v="4"/>
    <x v="1"/>
    <x v="0"/>
    <x v="3"/>
    <x v="0"/>
    <x v="1"/>
    <x v="0"/>
  </r>
  <r>
    <x v="160"/>
    <x v="1"/>
    <x v="0"/>
    <x v="2"/>
    <x v="12"/>
    <x v="11"/>
    <x v="1"/>
    <x v="0"/>
    <x v="7"/>
    <x v="0"/>
    <x v="1"/>
    <x v="0"/>
  </r>
  <r>
    <x v="161"/>
    <x v="68"/>
    <x v="1"/>
    <x v="4"/>
    <x v="7"/>
    <x v="10"/>
    <x v="1"/>
    <x v="0"/>
    <x v="9"/>
    <x v="0"/>
    <x v="1"/>
    <x v="0"/>
  </r>
  <r>
    <x v="162"/>
    <x v="48"/>
    <x v="0"/>
    <x v="1"/>
    <x v="10"/>
    <x v="2"/>
    <x v="0"/>
    <x v="0"/>
    <x v="11"/>
    <x v="2"/>
    <x v="1"/>
    <x v="0"/>
  </r>
  <r>
    <x v="163"/>
    <x v="27"/>
    <x v="1"/>
    <x v="1"/>
    <x v="6"/>
    <x v="5"/>
    <x v="1"/>
    <x v="0"/>
    <x v="11"/>
    <x v="2"/>
    <x v="1"/>
    <x v="0"/>
  </r>
  <r>
    <x v="164"/>
    <x v="63"/>
    <x v="1"/>
    <x v="3"/>
    <x v="9"/>
    <x v="7"/>
    <x v="1"/>
    <x v="0"/>
    <x v="5"/>
    <x v="3"/>
    <x v="0"/>
    <x v="0"/>
  </r>
  <r>
    <x v="165"/>
    <x v="64"/>
    <x v="1"/>
    <x v="1"/>
    <x v="3"/>
    <x v="9"/>
    <x v="1"/>
    <x v="1"/>
    <x v="6"/>
    <x v="0"/>
    <x v="1"/>
    <x v="0"/>
  </r>
  <r>
    <x v="166"/>
    <x v="5"/>
    <x v="0"/>
    <x v="3"/>
    <x v="11"/>
    <x v="12"/>
    <x v="0"/>
    <x v="0"/>
    <x v="11"/>
    <x v="0"/>
    <x v="1"/>
    <x v="0"/>
  </r>
  <r>
    <x v="167"/>
    <x v="40"/>
    <x v="0"/>
    <x v="1"/>
    <x v="6"/>
    <x v="4"/>
    <x v="1"/>
    <x v="1"/>
    <x v="12"/>
    <x v="2"/>
    <x v="0"/>
    <x v="1"/>
  </r>
  <r>
    <x v="168"/>
    <x v="29"/>
    <x v="1"/>
    <x v="4"/>
    <x v="5"/>
    <x v="3"/>
    <x v="0"/>
    <x v="0"/>
    <x v="4"/>
    <x v="0"/>
    <x v="1"/>
    <x v="0"/>
  </r>
  <r>
    <x v="169"/>
    <x v="17"/>
    <x v="0"/>
    <x v="1"/>
    <x v="6"/>
    <x v="9"/>
    <x v="1"/>
    <x v="0"/>
    <x v="7"/>
    <x v="1"/>
    <x v="0"/>
    <x v="0"/>
  </r>
  <r>
    <x v="170"/>
    <x v="6"/>
    <x v="0"/>
    <x v="2"/>
    <x v="8"/>
    <x v="0"/>
    <x v="1"/>
    <x v="0"/>
    <x v="5"/>
    <x v="1"/>
    <x v="1"/>
    <x v="0"/>
  </r>
  <r>
    <x v="171"/>
    <x v="24"/>
    <x v="0"/>
    <x v="0"/>
    <x v="2"/>
    <x v="12"/>
    <x v="3"/>
    <x v="1"/>
    <x v="11"/>
    <x v="0"/>
    <x v="1"/>
    <x v="1"/>
  </r>
  <r>
    <x v="172"/>
    <x v="71"/>
    <x v="0"/>
    <x v="2"/>
    <x v="14"/>
    <x v="1"/>
    <x v="2"/>
    <x v="0"/>
    <x v="6"/>
    <x v="3"/>
    <x v="0"/>
    <x v="0"/>
  </r>
  <r>
    <x v="173"/>
    <x v="58"/>
    <x v="1"/>
    <x v="0"/>
    <x v="2"/>
    <x v="12"/>
    <x v="1"/>
    <x v="0"/>
    <x v="8"/>
    <x v="0"/>
    <x v="0"/>
    <x v="1"/>
  </r>
  <r>
    <x v="174"/>
    <x v="65"/>
    <x v="0"/>
    <x v="0"/>
    <x v="0"/>
    <x v="10"/>
    <x v="0"/>
    <x v="1"/>
    <x v="2"/>
    <x v="0"/>
    <x v="1"/>
    <x v="0"/>
  </r>
  <r>
    <x v="175"/>
    <x v="5"/>
    <x v="0"/>
    <x v="4"/>
    <x v="13"/>
    <x v="4"/>
    <x v="6"/>
    <x v="1"/>
    <x v="11"/>
    <x v="0"/>
    <x v="1"/>
    <x v="1"/>
  </r>
  <r>
    <x v="176"/>
    <x v="19"/>
    <x v="1"/>
    <x v="0"/>
    <x v="2"/>
    <x v="9"/>
    <x v="2"/>
    <x v="0"/>
    <x v="2"/>
    <x v="0"/>
    <x v="1"/>
    <x v="0"/>
  </r>
  <r>
    <x v="177"/>
    <x v="65"/>
    <x v="0"/>
    <x v="3"/>
    <x v="9"/>
    <x v="4"/>
    <x v="0"/>
    <x v="1"/>
    <x v="7"/>
    <x v="0"/>
    <x v="1"/>
    <x v="0"/>
  </r>
  <r>
    <x v="178"/>
    <x v="18"/>
    <x v="0"/>
    <x v="4"/>
    <x v="13"/>
    <x v="10"/>
    <x v="0"/>
    <x v="0"/>
    <x v="0"/>
    <x v="1"/>
    <x v="1"/>
    <x v="0"/>
  </r>
  <r>
    <x v="179"/>
    <x v="44"/>
    <x v="1"/>
    <x v="1"/>
    <x v="10"/>
    <x v="10"/>
    <x v="1"/>
    <x v="1"/>
    <x v="5"/>
    <x v="1"/>
    <x v="0"/>
    <x v="1"/>
  </r>
  <r>
    <x v="180"/>
    <x v="21"/>
    <x v="1"/>
    <x v="1"/>
    <x v="10"/>
    <x v="0"/>
    <x v="3"/>
    <x v="1"/>
    <x v="12"/>
    <x v="3"/>
    <x v="0"/>
    <x v="1"/>
  </r>
  <r>
    <x v="181"/>
    <x v="39"/>
    <x v="0"/>
    <x v="0"/>
    <x v="0"/>
    <x v="8"/>
    <x v="2"/>
    <x v="0"/>
    <x v="4"/>
    <x v="3"/>
    <x v="1"/>
    <x v="0"/>
  </r>
  <r>
    <x v="182"/>
    <x v="70"/>
    <x v="1"/>
    <x v="4"/>
    <x v="5"/>
    <x v="5"/>
    <x v="0"/>
    <x v="0"/>
    <x v="3"/>
    <x v="0"/>
    <x v="1"/>
    <x v="0"/>
  </r>
  <r>
    <x v="183"/>
    <x v="27"/>
    <x v="0"/>
    <x v="1"/>
    <x v="6"/>
    <x v="13"/>
    <x v="3"/>
    <x v="0"/>
    <x v="12"/>
    <x v="0"/>
    <x v="1"/>
    <x v="1"/>
  </r>
  <r>
    <x v="184"/>
    <x v="31"/>
    <x v="1"/>
    <x v="1"/>
    <x v="3"/>
    <x v="5"/>
    <x v="0"/>
    <x v="0"/>
    <x v="9"/>
    <x v="0"/>
    <x v="1"/>
    <x v="0"/>
  </r>
  <r>
    <x v="185"/>
    <x v="63"/>
    <x v="0"/>
    <x v="2"/>
    <x v="14"/>
    <x v="0"/>
    <x v="2"/>
    <x v="0"/>
    <x v="3"/>
    <x v="0"/>
    <x v="1"/>
    <x v="0"/>
  </r>
  <r>
    <x v="186"/>
    <x v="65"/>
    <x v="0"/>
    <x v="4"/>
    <x v="13"/>
    <x v="10"/>
    <x v="0"/>
    <x v="0"/>
    <x v="3"/>
    <x v="0"/>
    <x v="1"/>
    <x v="0"/>
  </r>
  <r>
    <x v="187"/>
    <x v="7"/>
    <x v="1"/>
    <x v="3"/>
    <x v="1"/>
    <x v="2"/>
    <x v="2"/>
    <x v="0"/>
    <x v="5"/>
    <x v="1"/>
    <x v="0"/>
    <x v="0"/>
  </r>
  <r>
    <x v="188"/>
    <x v="70"/>
    <x v="1"/>
    <x v="3"/>
    <x v="9"/>
    <x v="2"/>
    <x v="1"/>
    <x v="0"/>
    <x v="0"/>
    <x v="2"/>
    <x v="0"/>
    <x v="0"/>
  </r>
  <r>
    <x v="189"/>
    <x v="36"/>
    <x v="0"/>
    <x v="0"/>
    <x v="2"/>
    <x v="12"/>
    <x v="1"/>
    <x v="1"/>
    <x v="4"/>
    <x v="0"/>
    <x v="1"/>
    <x v="0"/>
  </r>
  <r>
    <x v="190"/>
    <x v="42"/>
    <x v="0"/>
    <x v="0"/>
    <x v="0"/>
    <x v="12"/>
    <x v="1"/>
    <x v="0"/>
    <x v="5"/>
    <x v="0"/>
    <x v="1"/>
    <x v="0"/>
  </r>
  <r>
    <x v="191"/>
    <x v="7"/>
    <x v="1"/>
    <x v="0"/>
    <x v="4"/>
    <x v="2"/>
    <x v="1"/>
    <x v="1"/>
    <x v="7"/>
    <x v="3"/>
    <x v="1"/>
    <x v="0"/>
  </r>
  <r>
    <x v="192"/>
    <x v="18"/>
    <x v="0"/>
    <x v="1"/>
    <x v="10"/>
    <x v="5"/>
    <x v="1"/>
    <x v="1"/>
    <x v="9"/>
    <x v="1"/>
    <x v="0"/>
    <x v="0"/>
  </r>
  <r>
    <x v="193"/>
    <x v="60"/>
    <x v="1"/>
    <x v="0"/>
    <x v="0"/>
    <x v="10"/>
    <x v="3"/>
    <x v="0"/>
    <x v="12"/>
    <x v="1"/>
    <x v="1"/>
    <x v="0"/>
  </r>
  <r>
    <x v="194"/>
    <x v="30"/>
    <x v="0"/>
    <x v="4"/>
    <x v="13"/>
    <x v="3"/>
    <x v="0"/>
    <x v="0"/>
    <x v="11"/>
    <x v="2"/>
    <x v="1"/>
    <x v="0"/>
  </r>
  <r>
    <x v="195"/>
    <x v="5"/>
    <x v="0"/>
    <x v="0"/>
    <x v="2"/>
    <x v="9"/>
    <x v="0"/>
    <x v="1"/>
    <x v="0"/>
    <x v="3"/>
    <x v="1"/>
    <x v="0"/>
  </r>
  <r>
    <x v="196"/>
    <x v="58"/>
    <x v="0"/>
    <x v="4"/>
    <x v="5"/>
    <x v="11"/>
    <x v="1"/>
    <x v="0"/>
    <x v="0"/>
    <x v="3"/>
    <x v="1"/>
    <x v="0"/>
  </r>
  <r>
    <x v="197"/>
    <x v="19"/>
    <x v="0"/>
    <x v="0"/>
    <x v="2"/>
    <x v="8"/>
    <x v="0"/>
    <x v="0"/>
    <x v="3"/>
    <x v="1"/>
    <x v="1"/>
    <x v="0"/>
  </r>
  <r>
    <x v="198"/>
    <x v="34"/>
    <x v="0"/>
    <x v="2"/>
    <x v="14"/>
    <x v="4"/>
    <x v="3"/>
    <x v="1"/>
    <x v="11"/>
    <x v="1"/>
    <x v="1"/>
    <x v="0"/>
  </r>
  <r>
    <x v="199"/>
    <x v="36"/>
    <x v="0"/>
    <x v="4"/>
    <x v="7"/>
    <x v="6"/>
    <x v="1"/>
    <x v="0"/>
    <x v="3"/>
    <x v="3"/>
    <x v="1"/>
    <x v="0"/>
  </r>
  <r>
    <x v="200"/>
    <x v="39"/>
    <x v="1"/>
    <x v="4"/>
    <x v="5"/>
    <x v="6"/>
    <x v="0"/>
    <x v="0"/>
    <x v="0"/>
    <x v="0"/>
    <x v="1"/>
    <x v="0"/>
  </r>
  <r>
    <x v="201"/>
    <x v="4"/>
    <x v="0"/>
    <x v="1"/>
    <x v="3"/>
    <x v="1"/>
    <x v="0"/>
    <x v="0"/>
    <x v="8"/>
    <x v="2"/>
    <x v="1"/>
    <x v="0"/>
  </r>
  <r>
    <x v="202"/>
    <x v="1"/>
    <x v="1"/>
    <x v="4"/>
    <x v="7"/>
    <x v="12"/>
    <x v="0"/>
    <x v="1"/>
    <x v="3"/>
    <x v="0"/>
    <x v="0"/>
    <x v="1"/>
  </r>
  <r>
    <x v="203"/>
    <x v="35"/>
    <x v="1"/>
    <x v="4"/>
    <x v="7"/>
    <x v="2"/>
    <x v="0"/>
    <x v="0"/>
    <x v="4"/>
    <x v="0"/>
    <x v="1"/>
    <x v="0"/>
  </r>
  <r>
    <x v="204"/>
    <x v="36"/>
    <x v="0"/>
    <x v="0"/>
    <x v="0"/>
    <x v="13"/>
    <x v="1"/>
    <x v="1"/>
    <x v="11"/>
    <x v="3"/>
    <x v="0"/>
    <x v="1"/>
  </r>
  <r>
    <x v="205"/>
    <x v="64"/>
    <x v="1"/>
    <x v="4"/>
    <x v="7"/>
    <x v="4"/>
    <x v="2"/>
    <x v="1"/>
    <x v="11"/>
    <x v="3"/>
    <x v="0"/>
    <x v="1"/>
  </r>
  <r>
    <x v="206"/>
    <x v="14"/>
    <x v="1"/>
    <x v="1"/>
    <x v="3"/>
    <x v="1"/>
    <x v="0"/>
    <x v="0"/>
    <x v="3"/>
    <x v="0"/>
    <x v="0"/>
    <x v="0"/>
  </r>
  <r>
    <x v="207"/>
    <x v="30"/>
    <x v="1"/>
    <x v="1"/>
    <x v="3"/>
    <x v="3"/>
    <x v="1"/>
    <x v="0"/>
    <x v="5"/>
    <x v="3"/>
    <x v="0"/>
    <x v="0"/>
  </r>
  <r>
    <x v="208"/>
    <x v="6"/>
    <x v="0"/>
    <x v="0"/>
    <x v="2"/>
    <x v="9"/>
    <x v="0"/>
    <x v="1"/>
    <x v="12"/>
    <x v="0"/>
    <x v="0"/>
    <x v="0"/>
  </r>
  <r>
    <x v="209"/>
    <x v="51"/>
    <x v="0"/>
    <x v="1"/>
    <x v="10"/>
    <x v="11"/>
    <x v="0"/>
    <x v="1"/>
    <x v="13"/>
    <x v="1"/>
    <x v="0"/>
    <x v="1"/>
  </r>
  <r>
    <x v="210"/>
    <x v="71"/>
    <x v="1"/>
    <x v="0"/>
    <x v="4"/>
    <x v="6"/>
    <x v="2"/>
    <x v="0"/>
    <x v="0"/>
    <x v="0"/>
    <x v="0"/>
    <x v="0"/>
  </r>
  <r>
    <x v="211"/>
    <x v="27"/>
    <x v="1"/>
    <x v="3"/>
    <x v="11"/>
    <x v="11"/>
    <x v="0"/>
    <x v="0"/>
    <x v="4"/>
    <x v="0"/>
    <x v="0"/>
    <x v="0"/>
  </r>
  <r>
    <x v="212"/>
    <x v="2"/>
    <x v="0"/>
    <x v="0"/>
    <x v="4"/>
    <x v="13"/>
    <x v="0"/>
    <x v="0"/>
    <x v="9"/>
    <x v="0"/>
    <x v="1"/>
    <x v="0"/>
  </r>
  <r>
    <x v="213"/>
    <x v="61"/>
    <x v="1"/>
    <x v="1"/>
    <x v="3"/>
    <x v="12"/>
    <x v="1"/>
    <x v="1"/>
    <x v="12"/>
    <x v="1"/>
    <x v="1"/>
    <x v="0"/>
  </r>
  <r>
    <x v="214"/>
    <x v="8"/>
    <x v="1"/>
    <x v="3"/>
    <x v="11"/>
    <x v="1"/>
    <x v="2"/>
    <x v="0"/>
    <x v="10"/>
    <x v="0"/>
    <x v="1"/>
    <x v="0"/>
  </r>
  <r>
    <x v="215"/>
    <x v="69"/>
    <x v="1"/>
    <x v="2"/>
    <x v="12"/>
    <x v="0"/>
    <x v="0"/>
    <x v="0"/>
    <x v="2"/>
    <x v="0"/>
    <x v="0"/>
    <x v="0"/>
  </r>
  <r>
    <x v="216"/>
    <x v="33"/>
    <x v="0"/>
    <x v="4"/>
    <x v="7"/>
    <x v="1"/>
    <x v="0"/>
    <x v="0"/>
    <x v="9"/>
    <x v="2"/>
    <x v="1"/>
    <x v="0"/>
  </r>
  <r>
    <x v="217"/>
    <x v="28"/>
    <x v="0"/>
    <x v="4"/>
    <x v="13"/>
    <x v="12"/>
    <x v="4"/>
    <x v="1"/>
    <x v="5"/>
    <x v="0"/>
    <x v="0"/>
    <x v="1"/>
  </r>
  <r>
    <x v="218"/>
    <x v="49"/>
    <x v="1"/>
    <x v="2"/>
    <x v="14"/>
    <x v="9"/>
    <x v="0"/>
    <x v="1"/>
    <x v="11"/>
    <x v="1"/>
    <x v="1"/>
    <x v="0"/>
  </r>
  <r>
    <x v="219"/>
    <x v="33"/>
    <x v="0"/>
    <x v="0"/>
    <x v="0"/>
    <x v="10"/>
    <x v="0"/>
    <x v="1"/>
    <x v="7"/>
    <x v="3"/>
    <x v="1"/>
    <x v="0"/>
  </r>
  <r>
    <x v="220"/>
    <x v="17"/>
    <x v="1"/>
    <x v="1"/>
    <x v="10"/>
    <x v="13"/>
    <x v="2"/>
    <x v="0"/>
    <x v="6"/>
    <x v="0"/>
    <x v="1"/>
    <x v="0"/>
  </r>
  <r>
    <x v="221"/>
    <x v="1"/>
    <x v="1"/>
    <x v="0"/>
    <x v="4"/>
    <x v="4"/>
    <x v="2"/>
    <x v="1"/>
    <x v="11"/>
    <x v="2"/>
    <x v="0"/>
    <x v="0"/>
  </r>
  <r>
    <x v="222"/>
    <x v="18"/>
    <x v="0"/>
    <x v="1"/>
    <x v="10"/>
    <x v="1"/>
    <x v="0"/>
    <x v="1"/>
    <x v="0"/>
    <x v="0"/>
    <x v="0"/>
    <x v="1"/>
  </r>
  <r>
    <x v="223"/>
    <x v="68"/>
    <x v="1"/>
    <x v="1"/>
    <x v="10"/>
    <x v="2"/>
    <x v="0"/>
    <x v="0"/>
    <x v="11"/>
    <x v="0"/>
    <x v="0"/>
    <x v="0"/>
  </r>
  <r>
    <x v="224"/>
    <x v="8"/>
    <x v="1"/>
    <x v="4"/>
    <x v="13"/>
    <x v="13"/>
    <x v="0"/>
    <x v="0"/>
    <x v="5"/>
    <x v="0"/>
    <x v="1"/>
    <x v="0"/>
  </r>
  <r>
    <x v="225"/>
    <x v="58"/>
    <x v="1"/>
    <x v="0"/>
    <x v="4"/>
    <x v="13"/>
    <x v="0"/>
    <x v="1"/>
    <x v="10"/>
    <x v="3"/>
    <x v="1"/>
    <x v="1"/>
  </r>
  <r>
    <x v="226"/>
    <x v="11"/>
    <x v="0"/>
    <x v="0"/>
    <x v="2"/>
    <x v="12"/>
    <x v="1"/>
    <x v="0"/>
    <x v="7"/>
    <x v="0"/>
    <x v="0"/>
    <x v="0"/>
  </r>
  <r>
    <x v="227"/>
    <x v="21"/>
    <x v="0"/>
    <x v="1"/>
    <x v="3"/>
    <x v="12"/>
    <x v="0"/>
    <x v="0"/>
    <x v="8"/>
    <x v="0"/>
    <x v="1"/>
    <x v="0"/>
  </r>
  <r>
    <x v="228"/>
    <x v="34"/>
    <x v="1"/>
    <x v="3"/>
    <x v="11"/>
    <x v="8"/>
    <x v="0"/>
    <x v="0"/>
    <x v="6"/>
    <x v="0"/>
    <x v="0"/>
    <x v="0"/>
  </r>
  <r>
    <x v="229"/>
    <x v="24"/>
    <x v="1"/>
    <x v="1"/>
    <x v="3"/>
    <x v="9"/>
    <x v="2"/>
    <x v="1"/>
    <x v="10"/>
    <x v="0"/>
    <x v="1"/>
    <x v="1"/>
  </r>
  <r>
    <x v="230"/>
    <x v="49"/>
    <x v="1"/>
    <x v="4"/>
    <x v="7"/>
    <x v="1"/>
    <x v="0"/>
    <x v="1"/>
    <x v="1"/>
    <x v="2"/>
    <x v="0"/>
    <x v="1"/>
  </r>
  <r>
    <x v="231"/>
    <x v="67"/>
    <x v="0"/>
    <x v="3"/>
    <x v="1"/>
    <x v="13"/>
    <x v="0"/>
    <x v="0"/>
    <x v="7"/>
    <x v="1"/>
    <x v="0"/>
    <x v="0"/>
  </r>
  <r>
    <x v="232"/>
    <x v="16"/>
    <x v="0"/>
    <x v="1"/>
    <x v="6"/>
    <x v="2"/>
    <x v="0"/>
    <x v="0"/>
    <x v="8"/>
    <x v="0"/>
    <x v="1"/>
    <x v="0"/>
  </r>
  <r>
    <x v="233"/>
    <x v="57"/>
    <x v="1"/>
    <x v="0"/>
    <x v="4"/>
    <x v="2"/>
    <x v="0"/>
    <x v="0"/>
    <x v="9"/>
    <x v="0"/>
    <x v="1"/>
    <x v="0"/>
  </r>
  <r>
    <x v="234"/>
    <x v="10"/>
    <x v="1"/>
    <x v="3"/>
    <x v="11"/>
    <x v="9"/>
    <x v="1"/>
    <x v="1"/>
    <x v="13"/>
    <x v="2"/>
    <x v="0"/>
    <x v="1"/>
  </r>
  <r>
    <x v="235"/>
    <x v="40"/>
    <x v="0"/>
    <x v="1"/>
    <x v="3"/>
    <x v="12"/>
    <x v="1"/>
    <x v="0"/>
    <x v="1"/>
    <x v="0"/>
    <x v="1"/>
    <x v="0"/>
  </r>
  <r>
    <x v="236"/>
    <x v="20"/>
    <x v="1"/>
    <x v="0"/>
    <x v="4"/>
    <x v="6"/>
    <x v="1"/>
    <x v="0"/>
    <x v="12"/>
    <x v="3"/>
    <x v="1"/>
    <x v="0"/>
  </r>
  <r>
    <x v="237"/>
    <x v="41"/>
    <x v="1"/>
    <x v="2"/>
    <x v="8"/>
    <x v="6"/>
    <x v="1"/>
    <x v="0"/>
    <x v="7"/>
    <x v="0"/>
    <x v="1"/>
    <x v="0"/>
  </r>
  <r>
    <x v="238"/>
    <x v="42"/>
    <x v="0"/>
    <x v="0"/>
    <x v="2"/>
    <x v="7"/>
    <x v="2"/>
    <x v="1"/>
    <x v="2"/>
    <x v="0"/>
    <x v="1"/>
    <x v="0"/>
  </r>
  <r>
    <x v="239"/>
    <x v="23"/>
    <x v="1"/>
    <x v="0"/>
    <x v="2"/>
    <x v="2"/>
    <x v="0"/>
    <x v="0"/>
    <x v="6"/>
    <x v="0"/>
    <x v="1"/>
    <x v="0"/>
  </r>
  <r>
    <x v="240"/>
    <x v="66"/>
    <x v="1"/>
    <x v="2"/>
    <x v="14"/>
    <x v="10"/>
    <x v="3"/>
    <x v="1"/>
    <x v="10"/>
    <x v="2"/>
    <x v="1"/>
    <x v="1"/>
  </r>
  <r>
    <x v="241"/>
    <x v="55"/>
    <x v="1"/>
    <x v="2"/>
    <x v="8"/>
    <x v="10"/>
    <x v="2"/>
    <x v="0"/>
    <x v="4"/>
    <x v="0"/>
    <x v="1"/>
    <x v="0"/>
  </r>
  <r>
    <x v="242"/>
    <x v="70"/>
    <x v="1"/>
    <x v="2"/>
    <x v="14"/>
    <x v="7"/>
    <x v="2"/>
    <x v="0"/>
    <x v="10"/>
    <x v="0"/>
    <x v="0"/>
    <x v="1"/>
  </r>
  <r>
    <x v="243"/>
    <x v="39"/>
    <x v="1"/>
    <x v="2"/>
    <x v="12"/>
    <x v="12"/>
    <x v="3"/>
    <x v="0"/>
    <x v="11"/>
    <x v="0"/>
    <x v="1"/>
    <x v="0"/>
  </r>
  <r>
    <x v="244"/>
    <x v="45"/>
    <x v="1"/>
    <x v="1"/>
    <x v="6"/>
    <x v="6"/>
    <x v="1"/>
    <x v="0"/>
    <x v="0"/>
    <x v="1"/>
    <x v="1"/>
    <x v="0"/>
  </r>
  <r>
    <x v="245"/>
    <x v="58"/>
    <x v="0"/>
    <x v="1"/>
    <x v="10"/>
    <x v="12"/>
    <x v="0"/>
    <x v="1"/>
    <x v="0"/>
    <x v="0"/>
    <x v="0"/>
    <x v="1"/>
  </r>
  <r>
    <x v="246"/>
    <x v="69"/>
    <x v="1"/>
    <x v="3"/>
    <x v="9"/>
    <x v="10"/>
    <x v="1"/>
    <x v="0"/>
    <x v="13"/>
    <x v="2"/>
    <x v="1"/>
    <x v="0"/>
  </r>
  <r>
    <x v="247"/>
    <x v="32"/>
    <x v="0"/>
    <x v="2"/>
    <x v="8"/>
    <x v="8"/>
    <x v="2"/>
    <x v="0"/>
    <x v="8"/>
    <x v="1"/>
    <x v="1"/>
    <x v="0"/>
  </r>
  <r>
    <x v="248"/>
    <x v="51"/>
    <x v="0"/>
    <x v="4"/>
    <x v="13"/>
    <x v="3"/>
    <x v="2"/>
    <x v="1"/>
    <x v="1"/>
    <x v="3"/>
    <x v="1"/>
    <x v="0"/>
  </r>
  <r>
    <x v="249"/>
    <x v="9"/>
    <x v="1"/>
    <x v="0"/>
    <x v="4"/>
    <x v="13"/>
    <x v="2"/>
    <x v="0"/>
    <x v="5"/>
    <x v="0"/>
    <x v="1"/>
    <x v="0"/>
  </r>
  <r>
    <x v="250"/>
    <x v="69"/>
    <x v="0"/>
    <x v="4"/>
    <x v="13"/>
    <x v="13"/>
    <x v="1"/>
    <x v="0"/>
    <x v="3"/>
    <x v="0"/>
    <x v="1"/>
    <x v="0"/>
  </r>
  <r>
    <x v="251"/>
    <x v="70"/>
    <x v="0"/>
    <x v="4"/>
    <x v="13"/>
    <x v="3"/>
    <x v="0"/>
    <x v="1"/>
    <x v="1"/>
    <x v="1"/>
    <x v="1"/>
    <x v="0"/>
  </r>
  <r>
    <x v="252"/>
    <x v="32"/>
    <x v="0"/>
    <x v="4"/>
    <x v="13"/>
    <x v="7"/>
    <x v="2"/>
    <x v="0"/>
    <x v="9"/>
    <x v="1"/>
    <x v="0"/>
    <x v="0"/>
  </r>
  <r>
    <x v="253"/>
    <x v="21"/>
    <x v="0"/>
    <x v="0"/>
    <x v="0"/>
    <x v="9"/>
    <x v="1"/>
    <x v="0"/>
    <x v="11"/>
    <x v="0"/>
    <x v="1"/>
    <x v="0"/>
  </r>
  <r>
    <x v="254"/>
    <x v="69"/>
    <x v="1"/>
    <x v="0"/>
    <x v="0"/>
    <x v="8"/>
    <x v="1"/>
    <x v="1"/>
    <x v="11"/>
    <x v="1"/>
    <x v="0"/>
    <x v="1"/>
  </r>
  <r>
    <x v="255"/>
    <x v="54"/>
    <x v="1"/>
    <x v="0"/>
    <x v="4"/>
    <x v="9"/>
    <x v="2"/>
    <x v="1"/>
    <x v="0"/>
    <x v="0"/>
    <x v="1"/>
    <x v="0"/>
  </r>
  <r>
    <x v="256"/>
    <x v="60"/>
    <x v="0"/>
    <x v="0"/>
    <x v="4"/>
    <x v="3"/>
    <x v="1"/>
    <x v="0"/>
    <x v="4"/>
    <x v="0"/>
    <x v="1"/>
    <x v="0"/>
  </r>
  <r>
    <x v="257"/>
    <x v="3"/>
    <x v="0"/>
    <x v="4"/>
    <x v="13"/>
    <x v="5"/>
    <x v="2"/>
    <x v="1"/>
    <x v="8"/>
    <x v="1"/>
    <x v="0"/>
    <x v="1"/>
  </r>
  <r>
    <x v="258"/>
    <x v="58"/>
    <x v="1"/>
    <x v="0"/>
    <x v="0"/>
    <x v="6"/>
    <x v="1"/>
    <x v="0"/>
    <x v="8"/>
    <x v="0"/>
    <x v="1"/>
    <x v="0"/>
  </r>
  <r>
    <x v="259"/>
    <x v="35"/>
    <x v="0"/>
    <x v="2"/>
    <x v="12"/>
    <x v="0"/>
    <x v="0"/>
    <x v="1"/>
    <x v="10"/>
    <x v="0"/>
    <x v="0"/>
    <x v="0"/>
  </r>
  <r>
    <x v="260"/>
    <x v="31"/>
    <x v="0"/>
    <x v="3"/>
    <x v="9"/>
    <x v="13"/>
    <x v="2"/>
    <x v="0"/>
    <x v="11"/>
    <x v="3"/>
    <x v="1"/>
    <x v="0"/>
  </r>
  <r>
    <x v="261"/>
    <x v="14"/>
    <x v="0"/>
    <x v="3"/>
    <x v="9"/>
    <x v="12"/>
    <x v="0"/>
    <x v="0"/>
    <x v="2"/>
    <x v="0"/>
    <x v="0"/>
    <x v="0"/>
  </r>
  <r>
    <x v="262"/>
    <x v="66"/>
    <x v="0"/>
    <x v="1"/>
    <x v="6"/>
    <x v="11"/>
    <x v="1"/>
    <x v="1"/>
    <x v="1"/>
    <x v="0"/>
    <x v="1"/>
    <x v="0"/>
  </r>
  <r>
    <x v="263"/>
    <x v="53"/>
    <x v="1"/>
    <x v="3"/>
    <x v="11"/>
    <x v="3"/>
    <x v="2"/>
    <x v="1"/>
    <x v="6"/>
    <x v="2"/>
    <x v="1"/>
    <x v="1"/>
  </r>
  <r>
    <x v="264"/>
    <x v="16"/>
    <x v="1"/>
    <x v="3"/>
    <x v="11"/>
    <x v="13"/>
    <x v="3"/>
    <x v="0"/>
    <x v="0"/>
    <x v="3"/>
    <x v="0"/>
    <x v="1"/>
  </r>
  <r>
    <x v="265"/>
    <x v="44"/>
    <x v="1"/>
    <x v="1"/>
    <x v="6"/>
    <x v="5"/>
    <x v="1"/>
    <x v="0"/>
    <x v="8"/>
    <x v="1"/>
    <x v="0"/>
    <x v="0"/>
  </r>
  <r>
    <x v="266"/>
    <x v="71"/>
    <x v="1"/>
    <x v="1"/>
    <x v="10"/>
    <x v="5"/>
    <x v="1"/>
    <x v="0"/>
    <x v="12"/>
    <x v="0"/>
    <x v="0"/>
    <x v="0"/>
  </r>
  <r>
    <x v="267"/>
    <x v="24"/>
    <x v="0"/>
    <x v="3"/>
    <x v="1"/>
    <x v="8"/>
    <x v="0"/>
    <x v="1"/>
    <x v="11"/>
    <x v="2"/>
    <x v="1"/>
    <x v="0"/>
  </r>
  <r>
    <x v="268"/>
    <x v="62"/>
    <x v="0"/>
    <x v="1"/>
    <x v="3"/>
    <x v="12"/>
    <x v="0"/>
    <x v="0"/>
    <x v="8"/>
    <x v="1"/>
    <x v="1"/>
    <x v="0"/>
  </r>
  <r>
    <x v="269"/>
    <x v="67"/>
    <x v="1"/>
    <x v="3"/>
    <x v="1"/>
    <x v="6"/>
    <x v="0"/>
    <x v="1"/>
    <x v="11"/>
    <x v="0"/>
    <x v="0"/>
    <x v="1"/>
  </r>
  <r>
    <x v="270"/>
    <x v="62"/>
    <x v="0"/>
    <x v="4"/>
    <x v="7"/>
    <x v="3"/>
    <x v="1"/>
    <x v="0"/>
    <x v="0"/>
    <x v="1"/>
    <x v="0"/>
    <x v="0"/>
  </r>
  <r>
    <x v="271"/>
    <x v="56"/>
    <x v="1"/>
    <x v="1"/>
    <x v="10"/>
    <x v="8"/>
    <x v="3"/>
    <x v="0"/>
    <x v="3"/>
    <x v="1"/>
    <x v="1"/>
    <x v="0"/>
  </r>
  <r>
    <x v="272"/>
    <x v="14"/>
    <x v="0"/>
    <x v="1"/>
    <x v="6"/>
    <x v="10"/>
    <x v="0"/>
    <x v="1"/>
    <x v="6"/>
    <x v="3"/>
    <x v="1"/>
    <x v="0"/>
  </r>
  <r>
    <x v="273"/>
    <x v="20"/>
    <x v="0"/>
    <x v="4"/>
    <x v="5"/>
    <x v="1"/>
    <x v="2"/>
    <x v="1"/>
    <x v="8"/>
    <x v="0"/>
    <x v="0"/>
    <x v="0"/>
  </r>
  <r>
    <x v="274"/>
    <x v="35"/>
    <x v="1"/>
    <x v="1"/>
    <x v="10"/>
    <x v="11"/>
    <x v="3"/>
    <x v="1"/>
    <x v="6"/>
    <x v="0"/>
    <x v="1"/>
    <x v="0"/>
  </r>
  <r>
    <x v="275"/>
    <x v="46"/>
    <x v="0"/>
    <x v="1"/>
    <x v="10"/>
    <x v="11"/>
    <x v="1"/>
    <x v="1"/>
    <x v="2"/>
    <x v="2"/>
    <x v="0"/>
    <x v="0"/>
  </r>
  <r>
    <x v="276"/>
    <x v="15"/>
    <x v="1"/>
    <x v="1"/>
    <x v="10"/>
    <x v="11"/>
    <x v="0"/>
    <x v="0"/>
    <x v="11"/>
    <x v="2"/>
    <x v="1"/>
    <x v="0"/>
  </r>
  <r>
    <x v="277"/>
    <x v="7"/>
    <x v="0"/>
    <x v="0"/>
    <x v="0"/>
    <x v="8"/>
    <x v="0"/>
    <x v="1"/>
    <x v="11"/>
    <x v="1"/>
    <x v="1"/>
    <x v="0"/>
  </r>
  <r>
    <x v="278"/>
    <x v="36"/>
    <x v="0"/>
    <x v="0"/>
    <x v="0"/>
    <x v="11"/>
    <x v="1"/>
    <x v="1"/>
    <x v="8"/>
    <x v="3"/>
    <x v="0"/>
    <x v="1"/>
  </r>
  <r>
    <x v="279"/>
    <x v="58"/>
    <x v="1"/>
    <x v="3"/>
    <x v="1"/>
    <x v="4"/>
    <x v="1"/>
    <x v="0"/>
    <x v="0"/>
    <x v="1"/>
    <x v="0"/>
    <x v="0"/>
  </r>
  <r>
    <x v="280"/>
    <x v="71"/>
    <x v="1"/>
    <x v="4"/>
    <x v="13"/>
    <x v="12"/>
    <x v="4"/>
    <x v="0"/>
    <x v="12"/>
    <x v="0"/>
    <x v="1"/>
    <x v="0"/>
  </r>
  <r>
    <x v="281"/>
    <x v="68"/>
    <x v="1"/>
    <x v="1"/>
    <x v="10"/>
    <x v="12"/>
    <x v="3"/>
    <x v="1"/>
    <x v="9"/>
    <x v="0"/>
    <x v="1"/>
    <x v="1"/>
  </r>
  <r>
    <x v="282"/>
    <x v="66"/>
    <x v="0"/>
    <x v="3"/>
    <x v="1"/>
    <x v="13"/>
    <x v="0"/>
    <x v="0"/>
    <x v="12"/>
    <x v="0"/>
    <x v="0"/>
    <x v="0"/>
  </r>
  <r>
    <x v="283"/>
    <x v="36"/>
    <x v="1"/>
    <x v="3"/>
    <x v="1"/>
    <x v="4"/>
    <x v="1"/>
    <x v="0"/>
    <x v="2"/>
    <x v="0"/>
    <x v="0"/>
    <x v="0"/>
  </r>
  <r>
    <x v="284"/>
    <x v="37"/>
    <x v="0"/>
    <x v="0"/>
    <x v="2"/>
    <x v="8"/>
    <x v="2"/>
    <x v="0"/>
    <x v="0"/>
    <x v="0"/>
    <x v="0"/>
    <x v="0"/>
  </r>
  <r>
    <x v="285"/>
    <x v="18"/>
    <x v="0"/>
    <x v="0"/>
    <x v="4"/>
    <x v="5"/>
    <x v="3"/>
    <x v="0"/>
    <x v="10"/>
    <x v="0"/>
    <x v="0"/>
    <x v="0"/>
  </r>
  <r>
    <x v="286"/>
    <x v="23"/>
    <x v="0"/>
    <x v="0"/>
    <x v="0"/>
    <x v="10"/>
    <x v="1"/>
    <x v="0"/>
    <x v="5"/>
    <x v="3"/>
    <x v="1"/>
    <x v="0"/>
  </r>
  <r>
    <x v="287"/>
    <x v="10"/>
    <x v="1"/>
    <x v="2"/>
    <x v="14"/>
    <x v="1"/>
    <x v="2"/>
    <x v="1"/>
    <x v="11"/>
    <x v="1"/>
    <x v="1"/>
    <x v="0"/>
  </r>
  <r>
    <x v="288"/>
    <x v="11"/>
    <x v="0"/>
    <x v="4"/>
    <x v="13"/>
    <x v="10"/>
    <x v="0"/>
    <x v="0"/>
    <x v="2"/>
    <x v="3"/>
    <x v="1"/>
    <x v="0"/>
  </r>
  <r>
    <x v="289"/>
    <x v="28"/>
    <x v="1"/>
    <x v="4"/>
    <x v="7"/>
    <x v="5"/>
    <x v="0"/>
    <x v="0"/>
    <x v="4"/>
    <x v="1"/>
    <x v="0"/>
    <x v="0"/>
  </r>
  <r>
    <x v="290"/>
    <x v="14"/>
    <x v="0"/>
    <x v="1"/>
    <x v="3"/>
    <x v="10"/>
    <x v="1"/>
    <x v="0"/>
    <x v="10"/>
    <x v="1"/>
    <x v="1"/>
    <x v="0"/>
  </r>
  <r>
    <x v="291"/>
    <x v="23"/>
    <x v="1"/>
    <x v="3"/>
    <x v="9"/>
    <x v="9"/>
    <x v="1"/>
    <x v="0"/>
    <x v="3"/>
    <x v="0"/>
    <x v="1"/>
    <x v="0"/>
  </r>
  <r>
    <x v="292"/>
    <x v="58"/>
    <x v="1"/>
    <x v="3"/>
    <x v="1"/>
    <x v="7"/>
    <x v="0"/>
    <x v="0"/>
    <x v="0"/>
    <x v="0"/>
    <x v="1"/>
    <x v="0"/>
  </r>
  <r>
    <x v="293"/>
    <x v="18"/>
    <x v="0"/>
    <x v="3"/>
    <x v="9"/>
    <x v="6"/>
    <x v="2"/>
    <x v="0"/>
    <x v="3"/>
    <x v="0"/>
    <x v="0"/>
    <x v="0"/>
  </r>
  <r>
    <x v="294"/>
    <x v="10"/>
    <x v="1"/>
    <x v="2"/>
    <x v="8"/>
    <x v="3"/>
    <x v="0"/>
    <x v="1"/>
    <x v="8"/>
    <x v="0"/>
    <x v="1"/>
    <x v="0"/>
  </r>
  <r>
    <x v="295"/>
    <x v="68"/>
    <x v="1"/>
    <x v="0"/>
    <x v="2"/>
    <x v="10"/>
    <x v="0"/>
    <x v="0"/>
    <x v="1"/>
    <x v="3"/>
    <x v="1"/>
    <x v="0"/>
  </r>
  <r>
    <x v="296"/>
    <x v="10"/>
    <x v="0"/>
    <x v="0"/>
    <x v="2"/>
    <x v="6"/>
    <x v="2"/>
    <x v="0"/>
    <x v="5"/>
    <x v="0"/>
    <x v="1"/>
    <x v="0"/>
  </r>
  <r>
    <x v="297"/>
    <x v="13"/>
    <x v="1"/>
    <x v="0"/>
    <x v="4"/>
    <x v="6"/>
    <x v="2"/>
    <x v="1"/>
    <x v="7"/>
    <x v="0"/>
    <x v="1"/>
    <x v="0"/>
  </r>
  <r>
    <x v="298"/>
    <x v="67"/>
    <x v="1"/>
    <x v="1"/>
    <x v="10"/>
    <x v="13"/>
    <x v="3"/>
    <x v="0"/>
    <x v="5"/>
    <x v="2"/>
    <x v="1"/>
    <x v="0"/>
  </r>
  <r>
    <x v="299"/>
    <x v="42"/>
    <x v="0"/>
    <x v="3"/>
    <x v="11"/>
    <x v="1"/>
    <x v="2"/>
    <x v="1"/>
    <x v="6"/>
    <x v="3"/>
    <x v="1"/>
    <x v="0"/>
  </r>
  <r>
    <x v="300"/>
    <x v="17"/>
    <x v="1"/>
    <x v="3"/>
    <x v="11"/>
    <x v="0"/>
    <x v="3"/>
    <x v="0"/>
    <x v="7"/>
    <x v="2"/>
    <x v="1"/>
    <x v="0"/>
  </r>
  <r>
    <x v="301"/>
    <x v="27"/>
    <x v="0"/>
    <x v="0"/>
    <x v="4"/>
    <x v="8"/>
    <x v="0"/>
    <x v="0"/>
    <x v="13"/>
    <x v="0"/>
    <x v="1"/>
    <x v="0"/>
  </r>
  <r>
    <x v="302"/>
    <x v="65"/>
    <x v="0"/>
    <x v="2"/>
    <x v="8"/>
    <x v="10"/>
    <x v="1"/>
    <x v="1"/>
    <x v="8"/>
    <x v="0"/>
    <x v="1"/>
    <x v="0"/>
  </r>
  <r>
    <x v="303"/>
    <x v="56"/>
    <x v="1"/>
    <x v="2"/>
    <x v="12"/>
    <x v="12"/>
    <x v="1"/>
    <x v="1"/>
    <x v="5"/>
    <x v="3"/>
    <x v="1"/>
    <x v="1"/>
  </r>
  <r>
    <x v="304"/>
    <x v="1"/>
    <x v="1"/>
    <x v="1"/>
    <x v="6"/>
    <x v="6"/>
    <x v="2"/>
    <x v="0"/>
    <x v="2"/>
    <x v="0"/>
    <x v="0"/>
    <x v="0"/>
  </r>
  <r>
    <x v="305"/>
    <x v="45"/>
    <x v="0"/>
    <x v="3"/>
    <x v="9"/>
    <x v="13"/>
    <x v="0"/>
    <x v="1"/>
    <x v="0"/>
    <x v="2"/>
    <x v="1"/>
    <x v="0"/>
  </r>
  <r>
    <x v="306"/>
    <x v="47"/>
    <x v="1"/>
    <x v="1"/>
    <x v="6"/>
    <x v="5"/>
    <x v="2"/>
    <x v="0"/>
    <x v="12"/>
    <x v="1"/>
    <x v="1"/>
    <x v="0"/>
  </r>
  <r>
    <x v="307"/>
    <x v="19"/>
    <x v="1"/>
    <x v="1"/>
    <x v="10"/>
    <x v="10"/>
    <x v="0"/>
    <x v="1"/>
    <x v="11"/>
    <x v="2"/>
    <x v="1"/>
    <x v="0"/>
  </r>
  <r>
    <x v="308"/>
    <x v="11"/>
    <x v="1"/>
    <x v="4"/>
    <x v="7"/>
    <x v="2"/>
    <x v="2"/>
    <x v="1"/>
    <x v="1"/>
    <x v="3"/>
    <x v="1"/>
    <x v="0"/>
  </r>
  <r>
    <x v="309"/>
    <x v="48"/>
    <x v="0"/>
    <x v="4"/>
    <x v="5"/>
    <x v="8"/>
    <x v="1"/>
    <x v="0"/>
    <x v="4"/>
    <x v="0"/>
    <x v="1"/>
    <x v="0"/>
  </r>
  <r>
    <x v="310"/>
    <x v="2"/>
    <x v="0"/>
    <x v="2"/>
    <x v="8"/>
    <x v="1"/>
    <x v="1"/>
    <x v="0"/>
    <x v="2"/>
    <x v="0"/>
    <x v="1"/>
    <x v="0"/>
  </r>
  <r>
    <x v="311"/>
    <x v="30"/>
    <x v="1"/>
    <x v="1"/>
    <x v="3"/>
    <x v="9"/>
    <x v="2"/>
    <x v="1"/>
    <x v="9"/>
    <x v="0"/>
    <x v="0"/>
    <x v="1"/>
  </r>
  <r>
    <x v="312"/>
    <x v="31"/>
    <x v="0"/>
    <x v="4"/>
    <x v="7"/>
    <x v="6"/>
    <x v="1"/>
    <x v="0"/>
    <x v="10"/>
    <x v="0"/>
    <x v="1"/>
    <x v="0"/>
  </r>
  <r>
    <x v="313"/>
    <x v="13"/>
    <x v="1"/>
    <x v="1"/>
    <x v="10"/>
    <x v="10"/>
    <x v="0"/>
    <x v="0"/>
    <x v="1"/>
    <x v="0"/>
    <x v="0"/>
    <x v="0"/>
  </r>
  <r>
    <x v="314"/>
    <x v="9"/>
    <x v="1"/>
    <x v="1"/>
    <x v="10"/>
    <x v="9"/>
    <x v="0"/>
    <x v="1"/>
    <x v="10"/>
    <x v="0"/>
    <x v="1"/>
    <x v="0"/>
  </r>
  <r>
    <x v="315"/>
    <x v="60"/>
    <x v="1"/>
    <x v="4"/>
    <x v="13"/>
    <x v="3"/>
    <x v="1"/>
    <x v="1"/>
    <x v="8"/>
    <x v="3"/>
    <x v="1"/>
    <x v="0"/>
  </r>
  <r>
    <x v="316"/>
    <x v="42"/>
    <x v="1"/>
    <x v="3"/>
    <x v="1"/>
    <x v="5"/>
    <x v="1"/>
    <x v="0"/>
    <x v="9"/>
    <x v="0"/>
    <x v="0"/>
    <x v="0"/>
  </r>
  <r>
    <x v="317"/>
    <x v="45"/>
    <x v="0"/>
    <x v="1"/>
    <x v="6"/>
    <x v="6"/>
    <x v="0"/>
    <x v="0"/>
    <x v="0"/>
    <x v="1"/>
    <x v="0"/>
    <x v="0"/>
  </r>
  <r>
    <x v="318"/>
    <x v="30"/>
    <x v="1"/>
    <x v="2"/>
    <x v="8"/>
    <x v="11"/>
    <x v="2"/>
    <x v="0"/>
    <x v="10"/>
    <x v="0"/>
    <x v="1"/>
    <x v="0"/>
  </r>
  <r>
    <x v="319"/>
    <x v="32"/>
    <x v="0"/>
    <x v="1"/>
    <x v="3"/>
    <x v="2"/>
    <x v="1"/>
    <x v="0"/>
    <x v="13"/>
    <x v="0"/>
    <x v="1"/>
    <x v="0"/>
  </r>
  <r>
    <x v="320"/>
    <x v="24"/>
    <x v="0"/>
    <x v="1"/>
    <x v="3"/>
    <x v="13"/>
    <x v="1"/>
    <x v="1"/>
    <x v="2"/>
    <x v="2"/>
    <x v="0"/>
    <x v="1"/>
  </r>
  <r>
    <x v="321"/>
    <x v="0"/>
    <x v="1"/>
    <x v="1"/>
    <x v="10"/>
    <x v="2"/>
    <x v="2"/>
    <x v="1"/>
    <x v="6"/>
    <x v="0"/>
    <x v="0"/>
    <x v="1"/>
  </r>
  <r>
    <x v="322"/>
    <x v="14"/>
    <x v="1"/>
    <x v="2"/>
    <x v="8"/>
    <x v="12"/>
    <x v="2"/>
    <x v="0"/>
    <x v="9"/>
    <x v="2"/>
    <x v="0"/>
    <x v="0"/>
  </r>
  <r>
    <x v="323"/>
    <x v="60"/>
    <x v="1"/>
    <x v="4"/>
    <x v="7"/>
    <x v="9"/>
    <x v="2"/>
    <x v="1"/>
    <x v="6"/>
    <x v="3"/>
    <x v="1"/>
    <x v="0"/>
  </r>
  <r>
    <x v="324"/>
    <x v="53"/>
    <x v="1"/>
    <x v="4"/>
    <x v="5"/>
    <x v="6"/>
    <x v="0"/>
    <x v="0"/>
    <x v="7"/>
    <x v="1"/>
    <x v="1"/>
    <x v="0"/>
  </r>
  <r>
    <x v="325"/>
    <x v="3"/>
    <x v="0"/>
    <x v="0"/>
    <x v="0"/>
    <x v="2"/>
    <x v="2"/>
    <x v="1"/>
    <x v="3"/>
    <x v="0"/>
    <x v="1"/>
    <x v="0"/>
  </r>
  <r>
    <x v="326"/>
    <x v="0"/>
    <x v="0"/>
    <x v="3"/>
    <x v="9"/>
    <x v="8"/>
    <x v="0"/>
    <x v="0"/>
    <x v="6"/>
    <x v="0"/>
    <x v="1"/>
    <x v="0"/>
  </r>
  <r>
    <x v="327"/>
    <x v="36"/>
    <x v="0"/>
    <x v="4"/>
    <x v="7"/>
    <x v="11"/>
    <x v="2"/>
    <x v="0"/>
    <x v="5"/>
    <x v="0"/>
    <x v="1"/>
    <x v="0"/>
  </r>
  <r>
    <x v="328"/>
    <x v="11"/>
    <x v="1"/>
    <x v="0"/>
    <x v="0"/>
    <x v="10"/>
    <x v="1"/>
    <x v="1"/>
    <x v="13"/>
    <x v="0"/>
    <x v="1"/>
    <x v="0"/>
  </r>
  <r>
    <x v="329"/>
    <x v="0"/>
    <x v="1"/>
    <x v="2"/>
    <x v="14"/>
    <x v="1"/>
    <x v="0"/>
    <x v="0"/>
    <x v="6"/>
    <x v="0"/>
    <x v="1"/>
    <x v="0"/>
  </r>
  <r>
    <x v="330"/>
    <x v="50"/>
    <x v="0"/>
    <x v="3"/>
    <x v="9"/>
    <x v="2"/>
    <x v="1"/>
    <x v="1"/>
    <x v="7"/>
    <x v="0"/>
    <x v="0"/>
    <x v="1"/>
  </r>
  <r>
    <x v="331"/>
    <x v="31"/>
    <x v="0"/>
    <x v="0"/>
    <x v="0"/>
    <x v="7"/>
    <x v="2"/>
    <x v="0"/>
    <x v="11"/>
    <x v="0"/>
    <x v="1"/>
    <x v="0"/>
  </r>
  <r>
    <x v="332"/>
    <x v="58"/>
    <x v="1"/>
    <x v="1"/>
    <x v="3"/>
    <x v="9"/>
    <x v="1"/>
    <x v="0"/>
    <x v="3"/>
    <x v="0"/>
    <x v="1"/>
    <x v="0"/>
  </r>
  <r>
    <x v="333"/>
    <x v="54"/>
    <x v="0"/>
    <x v="0"/>
    <x v="4"/>
    <x v="6"/>
    <x v="1"/>
    <x v="0"/>
    <x v="2"/>
    <x v="0"/>
    <x v="1"/>
    <x v="0"/>
  </r>
  <r>
    <x v="334"/>
    <x v="56"/>
    <x v="0"/>
    <x v="2"/>
    <x v="8"/>
    <x v="1"/>
    <x v="2"/>
    <x v="0"/>
    <x v="11"/>
    <x v="0"/>
    <x v="0"/>
    <x v="0"/>
  </r>
  <r>
    <x v="335"/>
    <x v="48"/>
    <x v="1"/>
    <x v="0"/>
    <x v="0"/>
    <x v="9"/>
    <x v="2"/>
    <x v="1"/>
    <x v="1"/>
    <x v="1"/>
    <x v="1"/>
    <x v="0"/>
  </r>
  <r>
    <x v="336"/>
    <x v="66"/>
    <x v="0"/>
    <x v="4"/>
    <x v="5"/>
    <x v="10"/>
    <x v="3"/>
    <x v="0"/>
    <x v="3"/>
    <x v="0"/>
    <x v="1"/>
    <x v="0"/>
  </r>
  <r>
    <x v="337"/>
    <x v="52"/>
    <x v="0"/>
    <x v="0"/>
    <x v="2"/>
    <x v="0"/>
    <x v="0"/>
    <x v="1"/>
    <x v="12"/>
    <x v="1"/>
    <x v="1"/>
    <x v="0"/>
  </r>
  <r>
    <x v="338"/>
    <x v="67"/>
    <x v="0"/>
    <x v="2"/>
    <x v="8"/>
    <x v="13"/>
    <x v="2"/>
    <x v="1"/>
    <x v="10"/>
    <x v="0"/>
    <x v="0"/>
    <x v="1"/>
  </r>
  <r>
    <x v="339"/>
    <x v="60"/>
    <x v="0"/>
    <x v="0"/>
    <x v="4"/>
    <x v="3"/>
    <x v="3"/>
    <x v="1"/>
    <x v="1"/>
    <x v="0"/>
    <x v="1"/>
    <x v="0"/>
  </r>
  <r>
    <x v="340"/>
    <x v="22"/>
    <x v="1"/>
    <x v="4"/>
    <x v="5"/>
    <x v="10"/>
    <x v="1"/>
    <x v="0"/>
    <x v="13"/>
    <x v="1"/>
    <x v="1"/>
    <x v="0"/>
  </r>
  <r>
    <x v="341"/>
    <x v="48"/>
    <x v="0"/>
    <x v="2"/>
    <x v="12"/>
    <x v="8"/>
    <x v="1"/>
    <x v="0"/>
    <x v="5"/>
    <x v="0"/>
    <x v="1"/>
    <x v="0"/>
  </r>
  <r>
    <x v="342"/>
    <x v="21"/>
    <x v="1"/>
    <x v="1"/>
    <x v="6"/>
    <x v="7"/>
    <x v="0"/>
    <x v="0"/>
    <x v="5"/>
    <x v="2"/>
    <x v="0"/>
    <x v="0"/>
  </r>
  <r>
    <x v="343"/>
    <x v="69"/>
    <x v="1"/>
    <x v="0"/>
    <x v="4"/>
    <x v="12"/>
    <x v="1"/>
    <x v="0"/>
    <x v="2"/>
    <x v="3"/>
    <x v="0"/>
    <x v="1"/>
  </r>
  <r>
    <x v="344"/>
    <x v="1"/>
    <x v="1"/>
    <x v="4"/>
    <x v="5"/>
    <x v="0"/>
    <x v="0"/>
    <x v="1"/>
    <x v="5"/>
    <x v="0"/>
    <x v="0"/>
    <x v="0"/>
  </r>
  <r>
    <x v="345"/>
    <x v="36"/>
    <x v="0"/>
    <x v="3"/>
    <x v="1"/>
    <x v="1"/>
    <x v="0"/>
    <x v="1"/>
    <x v="0"/>
    <x v="3"/>
    <x v="1"/>
    <x v="0"/>
  </r>
  <r>
    <x v="346"/>
    <x v="22"/>
    <x v="1"/>
    <x v="2"/>
    <x v="14"/>
    <x v="8"/>
    <x v="0"/>
    <x v="0"/>
    <x v="10"/>
    <x v="2"/>
    <x v="0"/>
    <x v="0"/>
  </r>
  <r>
    <x v="347"/>
    <x v="9"/>
    <x v="0"/>
    <x v="3"/>
    <x v="9"/>
    <x v="4"/>
    <x v="0"/>
    <x v="1"/>
    <x v="2"/>
    <x v="0"/>
    <x v="1"/>
    <x v="0"/>
  </r>
  <r>
    <x v="348"/>
    <x v="29"/>
    <x v="1"/>
    <x v="4"/>
    <x v="7"/>
    <x v="11"/>
    <x v="3"/>
    <x v="1"/>
    <x v="0"/>
    <x v="0"/>
    <x v="1"/>
    <x v="0"/>
  </r>
  <r>
    <x v="349"/>
    <x v="71"/>
    <x v="1"/>
    <x v="0"/>
    <x v="0"/>
    <x v="2"/>
    <x v="2"/>
    <x v="0"/>
    <x v="2"/>
    <x v="1"/>
    <x v="0"/>
    <x v="0"/>
  </r>
  <r>
    <x v="350"/>
    <x v="4"/>
    <x v="1"/>
    <x v="2"/>
    <x v="8"/>
    <x v="12"/>
    <x v="0"/>
    <x v="1"/>
    <x v="5"/>
    <x v="1"/>
    <x v="1"/>
    <x v="0"/>
  </r>
  <r>
    <x v="351"/>
    <x v="8"/>
    <x v="1"/>
    <x v="1"/>
    <x v="3"/>
    <x v="10"/>
    <x v="1"/>
    <x v="0"/>
    <x v="3"/>
    <x v="3"/>
    <x v="0"/>
    <x v="1"/>
  </r>
  <r>
    <x v="352"/>
    <x v="37"/>
    <x v="0"/>
    <x v="0"/>
    <x v="0"/>
    <x v="8"/>
    <x v="3"/>
    <x v="0"/>
    <x v="6"/>
    <x v="0"/>
    <x v="1"/>
    <x v="1"/>
  </r>
  <r>
    <x v="353"/>
    <x v="1"/>
    <x v="0"/>
    <x v="0"/>
    <x v="2"/>
    <x v="8"/>
    <x v="0"/>
    <x v="1"/>
    <x v="12"/>
    <x v="0"/>
    <x v="1"/>
    <x v="0"/>
  </r>
  <r>
    <x v="354"/>
    <x v="13"/>
    <x v="1"/>
    <x v="0"/>
    <x v="0"/>
    <x v="12"/>
    <x v="1"/>
    <x v="0"/>
    <x v="10"/>
    <x v="0"/>
    <x v="1"/>
    <x v="0"/>
  </r>
  <r>
    <x v="355"/>
    <x v="37"/>
    <x v="0"/>
    <x v="2"/>
    <x v="12"/>
    <x v="7"/>
    <x v="1"/>
    <x v="0"/>
    <x v="10"/>
    <x v="0"/>
    <x v="0"/>
    <x v="0"/>
  </r>
  <r>
    <x v="356"/>
    <x v="44"/>
    <x v="1"/>
    <x v="1"/>
    <x v="6"/>
    <x v="4"/>
    <x v="1"/>
    <x v="1"/>
    <x v="8"/>
    <x v="0"/>
    <x v="0"/>
    <x v="0"/>
  </r>
  <r>
    <x v="357"/>
    <x v="22"/>
    <x v="1"/>
    <x v="0"/>
    <x v="2"/>
    <x v="8"/>
    <x v="0"/>
    <x v="1"/>
    <x v="8"/>
    <x v="0"/>
    <x v="1"/>
    <x v="0"/>
  </r>
  <r>
    <x v="358"/>
    <x v="56"/>
    <x v="1"/>
    <x v="0"/>
    <x v="2"/>
    <x v="9"/>
    <x v="1"/>
    <x v="0"/>
    <x v="11"/>
    <x v="1"/>
    <x v="1"/>
    <x v="0"/>
  </r>
  <r>
    <x v="359"/>
    <x v="41"/>
    <x v="1"/>
    <x v="3"/>
    <x v="9"/>
    <x v="9"/>
    <x v="0"/>
    <x v="1"/>
    <x v="1"/>
    <x v="0"/>
    <x v="1"/>
    <x v="0"/>
  </r>
  <r>
    <x v="360"/>
    <x v="32"/>
    <x v="1"/>
    <x v="1"/>
    <x v="3"/>
    <x v="9"/>
    <x v="0"/>
    <x v="0"/>
    <x v="10"/>
    <x v="0"/>
    <x v="1"/>
    <x v="0"/>
  </r>
  <r>
    <x v="361"/>
    <x v="32"/>
    <x v="0"/>
    <x v="3"/>
    <x v="11"/>
    <x v="7"/>
    <x v="0"/>
    <x v="1"/>
    <x v="13"/>
    <x v="0"/>
    <x v="1"/>
    <x v="0"/>
  </r>
  <r>
    <x v="362"/>
    <x v="40"/>
    <x v="1"/>
    <x v="4"/>
    <x v="13"/>
    <x v="13"/>
    <x v="2"/>
    <x v="1"/>
    <x v="9"/>
    <x v="3"/>
    <x v="1"/>
    <x v="1"/>
  </r>
  <r>
    <x v="363"/>
    <x v="9"/>
    <x v="1"/>
    <x v="2"/>
    <x v="14"/>
    <x v="9"/>
    <x v="1"/>
    <x v="0"/>
    <x v="10"/>
    <x v="3"/>
    <x v="1"/>
    <x v="0"/>
  </r>
  <r>
    <x v="364"/>
    <x v="36"/>
    <x v="1"/>
    <x v="0"/>
    <x v="4"/>
    <x v="7"/>
    <x v="1"/>
    <x v="0"/>
    <x v="5"/>
    <x v="2"/>
    <x v="0"/>
    <x v="1"/>
  </r>
  <r>
    <x v="365"/>
    <x v="10"/>
    <x v="0"/>
    <x v="3"/>
    <x v="1"/>
    <x v="3"/>
    <x v="2"/>
    <x v="0"/>
    <x v="3"/>
    <x v="0"/>
    <x v="0"/>
    <x v="0"/>
  </r>
  <r>
    <x v="366"/>
    <x v="21"/>
    <x v="0"/>
    <x v="3"/>
    <x v="1"/>
    <x v="3"/>
    <x v="3"/>
    <x v="0"/>
    <x v="8"/>
    <x v="0"/>
    <x v="0"/>
    <x v="0"/>
  </r>
  <r>
    <x v="367"/>
    <x v="52"/>
    <x v="0"/>
    <x v="4"/>
    <x v="13"/>
    <x v="13"/>
    <x v="1"/>
    <x v="1"/>
    <x v="10"/>
    <x v="1"/>
    <x v="0"/>
    <x v="1"/>
  </r>
  <r>
    <x v="368"/>
    <x v="17"/>
    <x v="0"/>
    <x v="1"/>
    <x v="6"/>
    <x v="3"/>
    <x v="1"/>
    <x v="0"/>
    <x v="7"/>
    <x v="1"/>
    <x v="0"/>
    <x v="0"/>
  </r>
  <r>
    <x v="369"/>
    <x v="35"/>
    <x v="1"/>
    <x v="3"/>
    <x v="11"/>
    <x v="13"/>
    <x v="1"/>
    <x v="0"/>
    <x v="3"/>
    <x v="2"/>
    <x v="0"/>
    <x v="0"/>
  </r>
  <r>
    <x v="370"/>
    <x v="16"/>
    <x v="0"/>
    <x v="4"/>
    <x v="5"/>
    <x v="9"/>
    <x v="0"/>
    <x v="1"/>
    <x v="2"/>
    <x v="0"/>
    <x v="1"/>
    <x v="0"/>
  </r>
  <r>
    <x v="371"/>
    <x v="55"/>
    <x v="0"/>
    <x v="1"/>
    <x v="6"/>
    <x v="2"/>
    <x v="1"/>
    <x v="0"/>
    <x v="4"/>
    <x v="1"/>
    <x v="1"/>
    <x v="0"/>
  </r>
  <r>
    <x v="372"/>
    <x v="2"/>
    <x v="1"/>
    <x v="2"/>
    <x v="12"/>
    <x v="13"/>
    <x v="0"/>
    <x v="0"/>
    <x v="6"/>
    <x v="0"/>
    <x v="1"/>
    <x v="0"/>
  </r>
  <r>
    <x v="373"/>
    <x v="43"/>
    <x v="1"/>
    <x v="2"/>
    <x v="12"/>
    <x v="8"/>
    <x v="2"/>
    <x v="0"/>
    <x v="6"/>
    <x v="3"/>
    <x v="0"/>
    <x v="0"/>
  </r>
  <r>
    <x v="374"/>
    <x v="5"/>
    <x v="1"/>
    <x v="2"/>
    <x v="8"/>
    <x v="1"/>
    <x v="3"/>
    <x v="0"/>
    <x v="8"/>
    <x v="2"/>
    <x v="1"/>
    <x v="0"/>
  </r>
  <r>
    <x v="375"/>
    <x v="69"/>
    <x v="0"/>
    <x v="1"/>
    <x v="6"/>
    <x v="11"/>
    <x v="0"/>
    <x v="0"/>
    <x v="5"/>
    <x v="3"/>
    <x v="1"/>
    <x v="0"/>
  </r>
  <r>
    <x v="376"/>
    <x v="33"/>
    <x v="0"/>
    <x v="4"/>
    <x v="13"/>
    <x v="9"/>
    <x v="2"/>
    <x v="0"/>
    <x v="8"/>
    <x v="3"/>
    <x v="1"/>
    <x v="0"/>
  </r>
  <r>
    <x v="377"/>
    <x v="27"/>
    <x v="1"/>
    <x v="3"/>
    <x v="1"/>
    <x v="7"/>
    <x v="1"/>
    <x v="0"/>
    <x v="11"/>
    <x v="0"/>
    <x v="1"/>
    <x v="0"/>
  </r>
  <r>
    <x v="378"/>
    <x v="50"/>
    <x v="0"/>
    <x v="1"/>
    <x v="6"/>
    <x v="7"/>
    <x v="1"/>
    <x v="1"/>
    <x v="2"/>
    <x v="3"/>
    <x v="1"/>
    <x v="1"/>
  </r>
  <r>
    <x v="379"/>
    <x v="45"/>
    <x v="1"/>
    <x v="0"/>
    <x v="4"/>
    <x v="13"/>
    <x v="1"/>
    <x v="0"/>
    <x v="6"/>
    <x v="0"/>
    <x v="1"/>
    <x v="0"/>
  </r>
  <r>
    <x v="380"/>
    <x v="50"/>
    <x v="0"/>
    <x v="0"/>
    <x v="4"/>
    <x v="3"/>
    <x v="1"/>
    <x v="0"/>
    <x v="13"/>
    <x v="0"/>
    <x v="1"/>
    <x v="0"/>
  </r>
  <r>
    <x v="381"/>
    <x v="42"/>
    <x v="0"/>
    <x v="4"/>
    <x v="5"/>
    <x v="10"/>
    <x v="1"/>
    <x v="1"/>
    <x v="12"/>
    <x v="0"/>
    <x v="1"/>
    <x v="0"/>
  </r>
  <r>
    <x v="382"/>
    <x v="29"/>
    <x v="0"/>
    <x v="1"/>
    <x v="10"/>
    <x v="5"/>
    <x v="2"/>
    <x v="0"/>
    <x v="8"/>
    <x v="0"/>
    <x v="1"/>
    <x v="0"/>
  </r>
  <r>
    <x v="383"/>
    <x v="8"/>
    <x v="1"/>
    <x v="4"/>
    <x v="5"/>
    <x v="1"/>
    <x v="1"/>
    <x v="0"/>
    <x v="9"/>
    <x v="1"/>
    <x v="0"/>
    <x v="0"/>
  </r>
  <r>
    <x v="384"/>
    <x v="34"/>
    <x v="0"/>
    <x v="4"/>
    <x v="13"/>
    <x v="6"/>
    <x v="2"/>
    <x v="1"/>
    <x v="2"/>
    <x v="0"/>
    <x v="0"/>
    <x v="1"/>
  </r>
  <r>
    <x v="385"/>
    <x v="48"/>
    <x v="0"/>
    <x v="1"/>
    <x v="6"/>
    <x v="5"/>
    <x v="2"/>
    <x v="0"/>
    <x v="10"/>
    <x v="0"/>
    <x v="1"/>
    <x v="0"/>
  </r>
  <r>
    <x v="386"/>
    <x v="43"/>
    <x v="1"/>
    <x v="4"/>
    <x v="5"/>
    <x v="8"/>
    <x v="1"/>
    <x v="0"/>
    <x v="13"/>
    <x v="0"/>
    <x v="0"/>
    <x v="1"/>
  </r>
  <r>
    <x v="387"/>
    <x v="44"/>
    <x v="0"/>
    <x v="1"/>
    <x v="6"/>
    <x v="9"/>
    <x v="2"/>
    <x v="0"/>
    <x v="2"/>
    <x v="0"/>
    <x v="1"/>
    <x v="0"/>
  </r>
  <r>
    <x v="388"/>
    <x v="32"/>
    <x v="1"/>
    <x v="2"/>
    <x v="8"/>
    <x v="12"/>
    <x v="1"/>
    <x v="1"/>
    <x v="1"/>
    <x v="1"/>
    <x v="1"/>
    <x v="0"/>
  </r>
  <r>
    <x v="389"/>
    <x v="55"/>
    <x v="1"/>
    <x v="1"/>
    <x v="10"/>
    <x v="2"/>
    <x v="1"/>
    <x v="0"/>
    <x v="8"/>
    <x v="3"/>
    <x v="0"/>
    <x v="0"/>
  </r>
  <r>
    <x v="390"/>
    <x v="26"/>
    <x v="1"/>
    <x v="4"/>
    <x v="13"/>
    <x v="12"/>
    <x v="0"/>
    <x v="1"/>
    <x v="13"/>
    <x v="2"/>
    <x v="0"/>
    <x v="1"/>
  </r>
  <r>
    <x v="391"/>
    <x v="13"/>
    <x v="0"/>
    <x v="1"/>
    <x v="3"/>
    <x v="12"/>
    <x v="1"/>
    <x v="1"/>
    <x v="9"/>
    <x v="0"/>
    <x v="0"/>
    <x v="1"/>
  </r>
  <r>
    <x v="392"/>
    <x v="18"/>
    <x v="1"/>
    <x v="0"/>
    <x v="2"/>
    <x v="6"/>
    <x v="0"/>
    <x v="0"/>
    <x v="9"/>
    <x v="1"/>
    <x v="1"/>
    <x v="0"/>
  </r>
  <r>
    <x v="393"/>
    <x v="9"/>
    <x v="1"/>
    <x v="1"/>
    <x v="6"/>
    <x v="11"/>
    <x v="0"/>
    <x v="0"/>
    <x v="3"/>
    <x v="3"/>
    <x v="0"/>
    <x v="0"/>
  </r>
  <r>
    <x v="394"/>
    <x v="59"/>
    <x v="1"/>
    <x v="1"/>
    <x v="6"/>
    <x v="5"/>
    <x v="1"/>
    <x v="1"/>
    <x v="1"/>
    <x v="3"/>
    <x v="1"/>
    <x v="0"/>
  </r>
  <r>
    <x v="395"/>
    <x v="13"/>
    <x v="1"/>
    <x v="3"/>
    <x v="11"/>
    <x v="9"/>
    <x v="1"/>
    <x v="0"/>
    <x v="10"/>
    <x v="0"/>
    <x v="1"/>
    <x v="0"/>
  </r>
  <r>
    <x v="396"/>
    <x v="35"/>
    <x v="0"/>
    <x v="0"/>
    <x v="0"/>
    <x v="8"/>
    <x v="2"/>
    <x v="0"/>
    <x v="8"/>
    <x v="1"/>
    <x v="1"/>
    <x v="0"/>
  </r>
  <r>
    <x v="397"/>
    <x v="50"/>
    <x v="0"/>
    <x v="0"/>
    <x v="2"/>
    <x v="2"/>
    <x v="0"/>
    <x v="1"/>
    <x v="6"/>
    <x v="2"/>
    <x v="1"/>
    <x v="0"/>
  </r>
  <r>
    <x v="398"/>
    <x v="49"/>
    <x v="1"/>
    <x v="4"/>
    <x v="5"/>
    <x v="12"/>
    <x v="1"/>
    <x v="1"/>
    <x v="2"/>
    <x v="1"/>
    <x v="1"/>
    <x v="0"/>
  </r>
  <r>
    <x v="399"/>
    <x v="20"/>
    <x v="0"/>
    <x v="2"/>
    <x v="8"/>
    <x v="13"/>
    <x v="0"/>
    <x v="1"/>
    <x v="10"/>
    <x v="1"/>
    <x v="1"/>
    <x v="1"/>
  </r>
  <r>
    <x v="400"/>
    <x v="18"/>
    <x v="1"/>
    <x v="4"/>
    <x v="7"/>
    <x v="1"/>
    <x v="3"/>
    <x v="0"/>
    <x v="0"/>
    <x v="0"/>
    <x v="1"/>
    <x v="0"/>
  </r>
  <r>
    <x v="401"/>
    <x v="48"/>
    <x v="0"/>
    <x v="4"/>
    <x v="13"/>
    <x v="5"/>
    <x v="2"/>
    <x v="1"/>
    <x v="3"/>
    <x v="0"/>
    <x v="1"/>
    <x v="0"/>
  </r>
  <r>
    <x v="402"/>
    <x v="13"/>
    <x v="1"/>
    <x v="1"/>
    <x v="6"/>
    <x v="4"/>
    <x v="0"/>
    <x v="0"/>
    <x v="13"/>
    <x v="0"/>
    <x v="1"/>
    <x v="0"/>
  </r>
  <r>
    <x v="403"/>
    <x v="24"/>
    <x v="1"/>
    <x v="0"/>
    <x v="2"/>
    <x v="13"/>
    <x v="0"/>
    <x v="1"/>
    <x v="1"/>
    <x v="0"/>
    <x v="0"/>
    <x v="1"/>
  </r>
  <r>
    <x v="404"/>
    <x v="56"/>
    <x v="0"/>
    <x v="3"/>
    <x v="11"/>
    <x v="7"/>
    <x v="0"/>
    <x v="0"/>
    <x v="12"/>
    <x v="3"/>
    <x v="1"/>
    <x v="0"/>
  </r>
  <r>
    <x v="405"/>
    <x v="32"/>
    <x v="0"/>
    <x v="1"/>
    <x v="3"/>
    <x v="1"/>
    <x v="1"/>
    <x v="0"/>
    <x v="0"/>
    <x v="0"/>
    <x v="0"/>
    <x v="1"/>
  </r>
  <r>
    <x v="406"/>
    <x v="67"/>
    <x v="0"/>
    <x v="0"/>
    <x v="0"/>
    <x v="8"/>
    <x v="3"/>
    <x v="0"/>
    <x v="6"/>
    <x v="3"/>
    <x v="1"/>
    <x v="0"/>
  </r>
  <r>
    <x v="407"/>
    <x v="21"/>
    <x v="0"/>
    <x v="0"/>
    <x v="4"/>
    <x v="4"/>
    <x v="1"/>
    <x v="0"/>
    <x v="5"/>
    <x v="0"/>
    <x v="0"/>
    <x v="0"/>
  </r>
  <r>
    <x v="408"/>
    <x v="44"/>
    <x v="0"/>
    <x v="3"/>
    <x v="11"/>
    <x v="5"/>
    <x v="3"/>
    <x v="0"/>
    <x v="11"/>
    <x v="1"/>
    <x v="0"/>
    <x v="0"/>
  </r>
  <r>
    <x v="409"/>
    <x v="29"/>
    <x v="1"/>
    <x v="4"/>
    <x v="7"/>
    <x v="3"/>
    <x v="1"/>
    <x v="1"/>
    <x v="8"/>
    <x v="0"/>
    <x v="0"/>
    <x v="0"/>
  </r>
  <r>
    <x v="410"/>
    <x v="18"/>
    <x v="0"/>
    <x v="4"/>
    <x v="7"/>
    <x v="10"/>
    <x v="0"/>
    <x v="0"/>
    <x v="0"/>
    <x v="0"/>
    <x v="1"/>
    <x v="0"/>
  </r>
  <r>
    <x v="411"/>
    <x v="38"/>
    <x v="1"/>
    <x v="0"/>
    <x v="4"/>
    <x v="2"/>
    <x v="3"/>
    <x v="0"/>
    <x v="1"/>
    <x v="0"/>
    <x v="0"/>
    <x v="0"/>
  </r>
  <r>
    <x v="412"/>
    <x v="59"/>
    <x v="1"/>
    <x v="1"/>
    <x v="10"/>
    <x v="4"/>
    <x v="2"/>
    <x v="0"/>
    <x v="5"/>
    <x v="0"/>
    <x v="1"/>
    <x v="0"/>
  </r>
  <r>
    <x v="413"/>
    <x v="70"/>
    <x v="0"/>
    <x v="3"/>
    <x v="9"/>
    <x v="9"/>
    <x v="0"/>
    <x v="0"/>
    <x v="13"/>
    <x v="0"/>
    <x v="0"/>
    <x v="0"/>
  </r>
  <r>
    <x v="414"/>
    <x v="59"/>
    <x v="0"/>
    <x v="0"/>
    <x v="0"/>
    <x v="1"/>
    <x v="1"/>
    <x v="0"/>
    <x v="2"/>
    <x v="0"/>
    <x v="1"/>
    <x v="0"/>
  </r>
  <r>
    <x v="415"/>
    <x v="57"/>
    <x v="1"/>
    <x v="4"/>
    <x v="7"/>
    <x v="0"/>
    <x v="0"/>
    <x v="0"/>
    <x v="2"/>
    <x v="3"/>
    <x v="0"/>
    <x v="0"/>
  </r>
  <r>
    <x v="416"/>
    <x v="44"/>
    <x v="1"/>
    <x v="4"/>
    <x v="7"/>
    <x v="7"/>
    <x v="3"/>
    <x v="0"/>
    <x v="2"/>
    <x v="0"/>
    <x v="1"/>
    <x v="0"/>
  </r>
  <r>
    <x v="417"/>
    <x v="27"/>
    <x v="0"/>
    <x v="1"/>
    <x v="6"/>
    <x v="5"/>
    <x v="1"/>
    <x v="0"/>
    <x v="3"/>
    <x v="3"/>
    <x v="1"/>
    <x v="0"/>
  </r>
  <r>
    <x v="418"/>
    <x v="38"/>
    <x v="1"/>
    <x v="4"/>
    <x v="5"/>
    <x v="2"/>
    <x v="1"/>
    <x v="0"/>
    <x v="11"/>
    <x v="2"/>
    <x v="1"/>
    <x v="0"/>
  </r>
  <r>
    <x v="419"/>
    <x v="17"/>
    <x v="0"/>
    <x v="0"/>
    <x v="2"/>
    <x v="11"/>
    <x v="1"/>
    <x v="1"/>
    <x v="4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T_Department" cacheId="2" applyNumberFormats="0" applyBorderFormats="0" applyFontFormats="0" applyPatternFormats="0" applyAlignmentFormats="0" applyWidthHeightFormats="0" dataCaption="Values" itemPrintTitles="1" indent="0" outline="1" outlineData="1">
  <location ref="A3:D10" firstHeaderRow="1" firstDataRow="2" firstDataCol="1"/>
  <pivotFields count="12">
    <pivotField dataField="1"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3"/>
  </rowFields>
  <colFields count="1">
    <field x="11"/>
  </colFields>
  <dataFields count="1">
    <dataField name="Count of PatientID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Records" displayName="PatientRecords" ref="A1:L421" totalsRowShown="0" headerRowDxfId="1">
  <autoFilter ref="A1:L421" xr:uid="{00000000-000C-0000-FFFF-FFFF00000000}"/>
  <tableColumns count="12">
    <tableColumn id="1" xr3:uid="{00000000-0010-0000-0000-000001000000}" name="PatientID"/>
    <tableColumn id="2" xr3:uid="{00000000-0010-0000-0000-000002000000}" name="Age"/>
    <tableColumn id="3" xr3:uid="{00000000-0010-0000-0000-000003000000}" name="Gender"/>
    <tableColumn id="4" xr3:uid="{00000000-0010-0000-0000-000004000000}" name="Department"/>
    <tableColumn id="5" xr3:uid="{00000000-0010-0000-0000-000005000000}" name="Diagnosis"/>
    <tableColumn id="6" xr3:uid="{00000000-0010-0000-0000-000006000000}" name="LengthOfStay"/>
    <tableColumn id="7" xr3:uid="{00000000-0010-0000-0000-000007000000}" name="PriorAdmissions"/>
    <tableColumn id="8" xr3:uid="{00000000-0010-0000-0000-000008000000}" name="ChronicCondition"/>
    <tableColumn id="9" xr3:uid="{00000000-0010-0000-0000-000009000000}" name="MedicationCount"/>
    <tableColumn id="10" xr3:uid="{00000000-0010-0000-0000-00000A000000}" name="DischargeDisposition"/>
    <tableColumn id="11" xr3:uid="{00000000-0010-0000-0000-00000B000000}" name="FollowUpScheduled"/>
    <tableColumn id="12" xr3:uid="{00000000-0010-0000-0000-00000C000000}" name="Readmitted_30Day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8"/>
  <sheetViews>
    <sheetView zoomScaleNormal="100" workbookViewId="0"/>
  </sheetViews>
  <sheetFormatPr defaultColWidth="8.6640625" defaultRowHeight="14.4" x14ac:dyDescent="0.3"/>
  <cols>
    <col min="1" max="5" width="12" customWidth="1"/>
    <col min="6" max="6" width="14" customWidth="1"/>
    <col min="7" max="7" width="17" customWidth="1"/>
    <col min="8" max="8" width="18" customWidth="1"/>
    <col min="9" max="9" width="17" customWidth="1"/>
    <col min="10" max="10" width="22" customWidth="1"/>
    <col min="11" max="12" width="19" customWidth="1"/>
  </cols>
  <sheetData>
    <row r="1" spans="1:12" x14ac:dyDescent="0.3">
      <c r="A1" s="8" t="s">
        <v>20</v>
      </c>
      <c r="B1" s="8" t="s">
        <v>21</v>
      </c>
      <c r="C1" s="8" t="s">
        <v>22</v>
      </c>
      <c r="D1" s="8" t="s">
        <v>8</v>
      </c>
      <c r="E1" s="8" t="s">
        <v>23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</row>
    <row r="2" spans="1:12" x14ac:dyDescent="0.3">
      <c r="A2">
        <v>2001</v>
      </c>
      <c r="B2">
        <v>22</v>
      </c>
      <c r="C2" t="s">
        <v>31</v>
      </c>
      <c r="D2" t="s">
        <v>13</v>
      </c>
      <c r="E2" t="s">
        <v>32</v>
      </c>
      <c r="F2">
        <v>1</v>
      </c>
      <c r="G2">
        <v>0</v>
      </c>
      <c r="H2" t="s">
        <v>14</v>
      </c>
      <c r="I2">
        <v>2</v>
      </c>
      <c r="J2" t="s">
        <v>33</v>
      </c>
      <c r="K2" t="s">
        <v>16</v>
      </c>
      <c r="L2" t="s">
        <v>16</v>
      </c>
    </row>
    <row r="3" spans="1:12" x14ac:dyDescent="0.3">
      <c r="A3">
        <v>2002</v>
      </c>
      <c r="B3">
        <v>66</v>
      </c>
      <c r="C3" t="s">
        <v>34</v>
      </c>
      <c r="D3" t="s">
        <v>13</v>
      </c>
      <c r="E3" t="s">
        <v>35</v>
      </c>
      <c r="F3">
        <v>5</v>
      </c>
      <c r="G3">
        <v>0</v>
      </c>
      <c r="H3" t="s">
        <v>16</v>
      </c>
      <c r="I3">
        <v>8</v>
      </c>
      <c r="J3" t="s">
        <v>36</v>
      </c>
      <c r="K3" t="s">
        <v>14</v>
      </c>
      <c r="L3" t="s">
        <v>16</v>
      </c>
    </row>
    <row r="4" spans="1:12" x14ac:dyDescent="0.3">
      <c r="A4">
        <v>2003</v>
      </c>
      <c r="B4">
        <v>88</v>
      </c>
      <c r="C4" t="s">
        <v>34</v>
      </c>
      <c r="D4" t="s">
        <v>15</v>
      </c>
      <c r="E4" t="s">
        <v>37</v>
      </c>
      <c r="F4">
        <v>9</v>
      </c>
      <c r="G4">
        <v>4</v>
      </c>
      <c r="H4" t="s">
        <v>14</v>
      </c>
      <c r="I4">
        <v>13</v>
      </c>
      <c r="J4" t="s">
        <v>33</v>
      </c>
      <c r="K4" t="s">
        <v>14</v>
      </c>
      <c r="L4" t="s">
        <v>14</v>
      </c>
    </row>
    <row r="5" spans="1:12" x14ac:dyDescent="0.3">
      <c r="A5">
        <v>2004</v>
      </c>
      <c r="B5">
        <v>23</v>
      </c>
      <c r="C5" t="s">
        <v>38</v>
      </c>
      <c r="D5" t="s">
        <v>15</v>
      </c>
      <c r="E5" t="s">
        <v>39</v>
      </c>
      <c r="F5">
        <v>12</v>
      </c>
      <c r="G5">
        <v>3</v>
      </c>
      <c r="H5" t="s">
        <v>16</v>
      </c>
      <c r="I5">
        <v>1</v>
      </c>
      <c r="J5" t="s">
        <v>33</v>
      </c>
      <c r="K5" t="s">
        <v>16</v>
      </c>
      <c r="L5" t="s">
        <v>16</v>
      </c>
    </row>
    <row r="6" spans="1:12" x14ac:dyDescent="0.3">
      <c r="A6">
        <v>2005</v>
      </c>
      <c r="B6">
        <v>71</v>
      </c>
      <c r="C6" t="s">
        <v>31</v>
      </c>
      <c r="D6" t="s">
        <v>15</v>
      </c>
      <c r="E6" t="s">
        <v>40</v>
      </c>
      <c r="F6">
        <v>3</v>
      </c>
      <c r="G6">
        <v>3</v>
      </c>
      <c r="H6" t="s">
        <v>16</v>
      </c>
      <c r="I6">
        <v>12</v>
      </c>
      <c r="J6" t="s">
        <v>33</v>
      </c>
      <c r="K6" t="s">
        <v>14</v>
      </c>
      <c r="L6" t="s">
        <v>16</v>
      </c>
    </row>
    <row r="7" spans="1:12" x14ac:dyDescent="0.3">
      <c r="A7">
        <v>2006</v>
      </c>
      <c r="B7">
        <v>22</v>
      </c>
      <c r="C7" t="s">
        <v>34</v>
      </c>
      <c r="D7" t="s">
        <v>19</v>
      </c>
      <c r="E7" t="s">
        <v>41</v>
      </c>
      <c r="F7">
        <v>3</v>
      </c>
      <c r="G7">
        <v>1</v>
      </c>
      <c r="H7" t="s">
        <v>16</v>
      </c>
      <c r="I7">
        <v>2</v>
      </c>
      <c r="J7" t="s">
        <v>36</v>
      </c>
      <c r="K7" t="s">
        <v>16</v>
      </c>
      <c r="L7" t="s">
        <v>16</v>
      </c>
    </row>
    <row r="8" spans="1:12" x14ac:dyDescent="0.3">
      <c r="A8">
        <v>2007</v>
      </c>
      <c r="B8">
        <v>85</v>
      </c>
      <c r="C8" t="s">
        <v>38</v>
      </c>
      <c r="D8" t="s">
        <v>17</v>
      </c>
      <c r="E8" t="s">
        <v>42</v>
      </c>
      <c r="F8">
        <v>2</v>
      </c>
      <c r="G8">
        <v>0</v>
      </c>
      <c r="H8" t="s">
        <v>16</v>
      </c>
      <c r="I8">
        <v>12</v>
      </c>
      <c r="J8" t="s">
        <v>33</v>
      </c>
      <c r="K8" t="s">
        <v>16</v>
      </c>
      <c r="L8" t="s">
        <v>16</v>
      </c>
    </row>
    <row r="9" spans="1:12" x14ac:dyDescent="0.3">
      <c r="A9">
        <v>2008</v>
      </c>
      <c r="B9">
        <v>47</v>
      </c>
      <c r="C9" t="s">
        <v>38</v>
      </c>
      <c r="D9" t="s">
        <v>13</v>
      </c>
      <c r="E9" t="s">
        <v>43</v>
      </c>
      <c r="F9">
        <v>2</v>
      </c>
      <c r="G9">
        <v>1</v>
      </c>
      <c r="H9" t="s">
        <v>14</v>
      </c>
      <c r="I9">
        <v>9</v>
      </c>
      <c r="J9" t="s">
        <v>44</v>
      </c>
      <c r="K9" t="s">
        <v>14</v>
      </c>
      <c r="L9" t="s">
        <v>16</v>
      </c>
    </row>
    <row r="10" spans="1:12" x14ac:dyDescent="0.3">
      <c r="A10">
        <v>2009</v>
      </c>
      <c r="B10">
        <v>43</v>
      </c>
      <c r="C10" t="s">
        <v>34</v>
      </c>
      <c r="D10" t="s">
        <v>15</v>
      </c>
      <c r="E10" t="s">
        <v>40</v>
      </c>
      <c r="F10">
        <v>4</v>
      </c>
      <c r="G10">
        <v>1</v>
      </c>
      <c r="H10" t="s">
        <v>16</v>
      </c>
      <c r="I10">
        <v>10</v>
      </c>
      <c r="J10" t="s">
        <v>44</v>
      </c>
      <c r="K10" t="s">
        <v>16</v>
      </c>
      <c r="L10" t="s">
        <v>16</v>
      </c>
    </row>
    <row r="11" spans="1:12" x14ac:dyDescent="0.3">
      <c r="A11">
        <v>2010</v>
      </c>
      <c r="B11">
        <v>25</v>
      </c>
      <c r="C11" t="s">
        <v>34</v>
      </c>
      <c r="D11" t="s">
        <v>19</v>
      </c>
      <c r="E11" t="s">
        <v>41</v>
      </c>
      <c r="F11">
        <v>9</v>
      </c>
      <c r="G11">
        <v>1</v>
      </c>
      <c r="H11" t="s">
        <v>16</v>
      </c>
      <c r="I11">
        <v>8</v>
      </c>
      <c r="J11" t="s">
        <v>33</v>
      </c>
      <c r="K11" t="s">
        <v>14</v>
      </c>
      <c r="L11" t="s">
        <v>16</v>
      </c>
    </row>
    <row r="12" spans="1:12" x14ac:dyDescent="0.3">
      <c r="A12">
        <v>2011</v>
      </c>
      <c r="B12">
        <v>49</v>
      </c>
      <c r="C12" t="s">
        <v>34</v>
      </c>
      <c r="D12" t="s">
        <v>13</v>
      </c>
      <c r="E12" t="s">
        <v>35</v>
      </c>
      <c r="F12">
        <v>10</v>
      </c>
      <c r="G12">
        <v>3</v>
      </c>
      <c r="H12" t="s">
        <v>16</v>
      </c>
      <c r="I12">
        <v>2</v>
      </c>
      <c r="J12" t="s">
        <v>44</v>
      </c>
      <c r="K12" t="s">
        <v>14</v>
      </c>
      <c r="L12" t="s">
        <v>16</v>
      </c>
    </row>
    <row r="13" spans="1:12" x14ac:dyDescent="0.3">
      <c r="A13">
        <v>2012</v>
      </c>
      <c r="B13">
        <v>57</v>
      </c>
      <c r="C13" t="s">
        <v>38</v>
      </c>
      <c r="D13" t="s">
        <v>19</v>
      </c>
      <c r="E13" t="s">
        <v>45</v>
      </c>
      <c r="F13">
        <v>1</v>
      </c>
      <c r="G13">
        <v>2</v>
      </c>
      <c r="H13" t="s">
        <v>14</v>
      </c>
      <c r="I13">
        <v>14</v>
      </c>
      <c r="J13" t="s">
        <v>33</v>
      </c>
      <c r="K13" t="s">
        <v>16</v>
      </c>
      <c r="L13" t="s">
        <v>14</v>
      </c>
    </row>
    <row r="14" spans="1:12" x14ac:dyDescent="0.3">
      <c r="A14">
        <v>2013</v>
      </c>
      <c r="B14">
        <v>46</v>
      </c>
      <c r="C14" t="s">
        <v>38</v>
      </c>
      <c r="D14" t="s">
        <v>15</v>
      </c>
      <c r="E14" t="s">
        <v>39</v>
      </c>
      <c r="F14">
        <v>4</v>
      </c>
      <c r="G14">
        <v>1</v>
      </c>
      <c r="H14" t="s">
        <v>14</v>
      </c>
      <c r="I14">
        <v>6</v>
      </c>
      <c r="J14" t="s">
        <v>33</v>
      </c>
      <c r="K14" t="s">
        <v>14</v>
      </c>
      <c r="L14" t="s">
        <v>16</v>
      </c>
    </row>
    <row r="15" spans="1:12" x14ac:dyDescent="0.3">
      <c r="A15">
        <v>2014</v>
      </c>
      <c r="B15">
        <v>40</v>
      </c>
      <c r="C15" t="s">
        <v>34</v>
      </c>
      <c r="D15" t="s">
        <v>19</v>
      </c>
      <c r="E15" t="s">
        <v>46</v>
      </c>
      <c r="F15">
        <v>2</v>
      </c>
      <c r="G15">
        <v>0</v>
      </c>
      <c r="H15" t="s">
        <v>14</v>
      </c>
      <c r="I15">
        <v>6</v>
      </c>
      <c r="J15" t="s">
        <v>33</v>
      </c>
      <c r="K15" t="s">
        <v>16</v>
      </c>
      <c r="L15" t="s">
        <v>16</v>
      </c>
    </row>
    <row r="16" spans="1:12" x14ac:dyDescent="0.3">
      <c r="A16">
        <v>2015</v>
      </c>
      <c r="B16">
        <v>57</v>
      </c>
      <c r="C16" t="s">
        <v>38</v>
      </c>
      <c r="D16" t="s">
        <v>15</v>
      </c>
      <c r="E16" t="s">
        <v>39</v>
      </c>
      <c r="F16">
        <v>10</v>
      </c>
      <c r="G16">
        <v>1</v>
      </c>
      <c r="H16" t="s">
        <v>14</v>
      </c>
      <c r="I16">
        <v>10</v>
      </c>
      <c r="J16" t="s">
        <v>33</v>
      </c>
      <c r="K16" t="s">
        <v>14</v>
      </c>
      <c r="L16" t="s">
        <v>16</v>
      </c>
    </row>
    <row r="17" spans="1:12" x14ac:dyDescent="0.3">
      <c r="A17">
        <v>2016</v>
      </c>
      <c r="B17">
        <v>72</v>
      </c>
      <c r="C17" t="s">
        <v>38</v>
      </c>
      <c r="D17" t="s">
        <v>13</v>
      </c>
      <c r="E17" t="s">
        <v>35</v>
      </c>
      <c r="F17">
        <v>7</v>
      </c>
      <c r="G17">
        <v>1</v>
      </c>
      <c r="H17" t="s">
        <v>16</v>
      </c>
      <c r="I17">
        <v>2</v>
      </c>
      <c r="J17" t="s">
        <v>44</v>
      </c>
      <c r="K17" t="s">
        <v>16</v>
      </c>
      <c r="L17" t="s">
        <v>16</v>
      </c>
    </row>
    <row r="18" spans="1:12" x14ac:dyDescent="0.3">
      <c r="A18">
        <v>2017</v>
      </c>
      <c r="B18">
        <v>21</v>
      </c>
      <c r="C18" t="s">
        <v>34</v>
      </c>
      <c r="D18" t="s">
        <v>47</v>
      </c>
      <c r="E18" t="s">
        <v>39</v>
      </c>
      <c r="F18">
        <v>9</v>
      </c>
      <c r="G18">
        <v>3</v>
      </c>
      <c r="H18" t="s">
        <v>16</v>
      </c>
      <c r="I18">
        <v>10</v>
      </c>
      <c r="J18" t="s">
        <v>36</v>
      </c>
      <c r="K18" t="s">
        <v>14</v>
      </c>
      <c r="L18" t="s">
        <v>16</v>
      </c>
    </row>
    <row r="19" spans="1:12" x14ac:dyDescent="0.3">
      <c r="A19">
        <v>2018</v>
      </c>
      <c r="B19">
        <v>71</v>
      </c>
      <c r="C19" t="s">
        <v>38</v>
      </c>
      <c r="D19" t="s">
        <v>13</v>
      </c>
      <c r="E19" t="s">
        <v>35</v>
      </c>
      <c r="F19">
        <v>13</v>
      </c>
      <c r="G19">
        <v>0</v>
      </c>
      <c r="H19" t="s">
        <v>14</v>
      </c>
      <c r="I19">
        <v>10</v>
      </c>
      <c r="J19" t="s">
        <v>48</v>
      </c>
      <c r="K19" t="s">
        <v>16</v>
      </c>
      <c r="L19" t="s">
        <v>14</v>
      </c>
    </row>
    <row r="20" spans="1:12" x14ac:dyDescent="0.3">
      <c r="A20">
        <v>2019</v>
      </c>
      <c r="B20">
        <v>52</v>
      </c>
      <c r="C20" t="s">
        <v>38</v>
      </c>
      <c r="D20" t="s">
        <v>13</v>
      </c>
      <c r="E20" t="s">
        <v>43</v>
      </c>
      <c r="F20">
        <v>13</v>
      </c>
      <c r="G20">
        <v>2</v>
      </c>
      <c r="H20" t="s">
        <v>16</v>
      </c>
      <c r="I20">
        <v>2</v>
      </c>
      <c r="J20" t="s">
        <v>36</v>
      </c>
      <c r="K20" t="s">
        <v>14</v>
      </c>
      <c r="L20" t="s">
        <v>16</v>
      </c>
    </row>
    <row r="21" spans="1:12" x14ac:dyDescent="0.3">
      <c r="A21">
        <v>2020</v>
      </c>
      <c r="B21">
        <v>20</v>
      </c>
      <c r="C21" t="s">
        <v>34</v>
      </c>
      <c r="D21" t="s">
        <v>19</v>
      </c>
      <c r="E21" t="s">
        <v>46</v>
      </c>
      <c r="F21">
        <v>1</v>
      </c>
      <c r="G21">
        <v>2</v>
      </c>
      <c r="H21" t="s">
        <v>14</v>
      </c>
      <c r="I21">
        <v>13</v>
      </c>
      <c r="J21" t="s">
        <v>33</v>
      </c>
      <c r="K21" t="s">
        <v>16</v>
      </c>
      <c r="L21" t="s">
        <v>16</v>
      </c>
    </row>
    <row r="22" spans="1:12" x14ac:dyDescent="0.3">
      <c r="A22">
        <v>2021</v>
      </c>
      <c r="B22">
        <v>25</v>
      </c>
      <c r="C22" t="s">
        <v>34</v>
      </c>
      <c r="D22" t="s">
        <v>17</v>
      </c>
      <c r="E22" t="s">
        <v>42</v>
      </c>
      <c r="F22">
        <v>4</v>
      </c>
      <c r="G22">
        <v>1</v>
      </c>
      <c r="H22" t="s">
        <v>16</v>
      </c>
      <c r="J22" t="s">
        <v>44</v>
      </c>
      <c r="K22" t="s">
        <v>16</v>
      </c>
      <c r="L22" t="s">
        <v>16</v>
      </c>
    </row>
    <row r="23" spans="1:12" x14ac:dyDescent="0.3">
      <c r="A23">
        <v>2022</v>
      </c>
      <c r="B23">
        <v>28</v>
      </c>
      <c r="C23" t="s">
        <v>38</v>
      </c>
      <c r="D23" t="s">
        <v>17</v>
      </c>
      <c r="E23" t="s">
        <v>49</v>
      </c>
      <c r="F23">
        <v>2</v>
      </c>
      <c r="G23">
        <v>1</v>
      </c>
      <c r="H23" t="s">
        <v>16</v>
      </c>
      <c r="I23">
        <v>7</v>
      </c>
      <c r="J23" t="s">
        <v>36</v>
      </c>
      <c r="K23" t="s">
        <v>16</v>
      </c>
      <c r="L23" t="s">
        <v>16</v>
      </c>
    </row>
    <row r="24" spans="1:12" x14ac:dyDescent="0.3">
      <c r="A24">
        <v>2023</v>
      </c>
      <c r="B24">
        <v>18</v>
      </c>
      <c r="C24" t="s">
        <v>38</v>
      </c>
      <c r="D24" t="s">
        <v>13</v>
      </c>
      <c r="E24" t="s">
        <v>43</v>
      </c>
      <c r="F24">
        <v>13</v>
      </c>
      <c r="G24">
        <v>7</v>
      </c>
      <c r="H24" t="s">
        <v>16</v>
      </c>
      <c r="I24">
        <v>4</v>
      </c>
      <c r="J24" t="s">
        <v>33</v>
      </c>
      <c r="K24" t="s">
        <v>16</v>
      </c>
      <c r="L24" t="s">
        <v>14</v>
      </c>
    </row>
    <row r="25" spans="1:12" x14ac:dyDescent="0.3">
      <c r="A25">
        <v>2024</v>
      </c>
      <c r="B25">
        <v>26</v>
      </c>
      <c r="C25" t="s">
        <v>34</v>
      </c>
      <c r="D25" t="s">
        <v>15</v>
      </c>
      <c r="E25" t="s">
        <v>37</v>
      </c>
      <c r="F25">
        <v>4</v>
      </c>
      <c r="G25">
        <v>1</v>
      </c>
      <c r="H25" t="s">
        <v>16</v>
      </c>
      <c r="I25">
        <v>13</v>
      </c>
      <c r="J25" t="s">
        <v>33</v>
      </c>
      <c r="K25" t="s">
        <v>14</v>
      </c>
      <c r="L25" t="s">
        <v>16</v>
      </c>
    </row>
    <row r="26" spans="1:12" x14ac:dyDescent="0.3">
      <c r="A26">
        <v>2025</v>
      </c>
      <c r="B26">
        <v>51</v>
      </c>
      <c r="C26" t="s">
        <v>34</v>
      </c>
      <c r="D26" t="s">
        <v>19</v>
      </c>
      <c r="E26" t="s">
        <v>46</v>
      </c>
      <c r="F26">
        <v>5</v>
      </c>
      <c r="G26">
        <v>3</v>
      </c>
      <c r="H26" t="s">
        <v>16</v>
      </c>
      <c r="I26">
        <v>1</v>
      </c>
      <c r="J26" t="s">
        <v>44</v>
      </c>
      <c r="K26" t="s">
        <v>16</v>
      </c>
      <c r="L26" t="s">
        <v>14</v>
      </c>
    </row>
    <row r="27" spans="1:12" x14ac:dyDescent="0.3">
      <c r="A27">
        <v>2026</v>
      </c>
      <c r="B27">
        <v>44</v>
      </c>
      <c r="C27" t="s">
        <v>38</v>
      </c>
      <c r="D27" t="s">
        <v>19</v>
      </c>
      <c r="E27" t="s">
        <v>41</v>
      </c>
      <c r="F27">
        <v>10</v>
      </c>
      <c r="G27">
        <v>2</v>
      </c>
      <c r="H27" t="s">
        <v>16</v>
      </c>
      <c r="I27">
        <v>10</v>
      </c>
      <c r="J27" t="s">
        <v>44</v>
      </c>
      <c r="K27" t="s">
        <v>14</v>
      </c>
      <c r="L27" t="s">
        <v>16</v>
      </c>
    </row>
    <row r="28" spans="1:12" x14ac:dyDescent="0.3">
      <c r="A28">
        <v>2027</v>
      </c>
      <c r="B28">
        <v>54</v>
      </c>
      <c r="C28" t="s">
        <v>38</v>
      </c>
      <c r="D28" t="s">
        <v>18</v>
      </c>
      <c r="E28" t="s">
        <v>50</v>
      </c>
      <c r="F28">
        <v>9</v>
      </c>
      <c r="G28">
        <v>0</v>
      </c>
      <c r="H28" t="s">
        <v>16</v>
      </c>
      <c r="I28">
        <v>9</v>
      </c>
      <c r="J28" t="s">
        <v>48</v>
      </c>
      <c r="K28" t="s">
        <v>14</v>
      </c>
      <c r="L28" t="s">
        <v>16</v>
      </c>
    </row>
    <row r="29" spans="1:12" x14ac:dyDescent="0.3">
      <c r="A29">
        <v>2028</v>
      </c>
      <c r="B29">
        <v>28</v>
      </c>
      <c r="C29" t="s">
        <v>34</v>
      </c>
      <c r="D29" t="s">
        <v>17</v>
      </c>
      <c r="E29" t="s">
        <v>49</v>
      </c>
      <c r="F29">
        <v>5</v>
      </c>
      <c r="G29">
        <v>3</v>
      </c>
      <c r="H29" t="s">
        <v>14</v>
      </c>
      <c r="I29">
        <v>14</v>
      </c>
      <c r="J29" t="s">
        <v>33</v>
      </c>
      <c r="K29" t="s">
        <v>14</v>
      </c>
      <c r="L29" t="s">
        <v>16</v>
      </c>
    </row>
    <row r="30" spans="1:12" x14ac:dyDescent="0.3">
      <c r="A30">
        <v>2029</v>
      </c>
      <c r="B30">
        <v>77</v>
      </c>
      <c r="C30" t="s">
        <v>38</v>
      </c>
      <c r="D30" t="s">
        <v>13</v>
      </c>
      <c r="E30" t="s">
        <v>35</v>
      </c>
      <c r="F30">
        <v>8</v>
      </c>
      <c r="G30">
        <v>1</v>
      </c>
      <c r="H30" t="s">
        <v>16</v>
      </c>
      <c r="I30">
        <v>9</v>
      </c>
      <c r="J30" t="s">
        <v>44</v>
      </c>
      <c r="K30" t="s">
        <v>14</v>
      </c>
      <c r="L30" t="s">
        <v>16</v>
      </c>
    </row>
    <row r="31" spans="1:12" x14ac:dyDescent="0.3">
      <c r="A31">
        <v>2030</v>
      </c>
      <c r="B31">
        <v>62</v>
      </c>
      <c r="C31" t="s">
        <v>34</v>
      </c>
      <c r="D31" t="s">
        <v>17</v>
      </c>
      <c r="E31" t="s">
        <v>42</v>
      </c>
      <c r="F31">
        <v>5</v>
      </c>
      <c r="G31">
        <v>3</v>
      </c>
      <c r="H31" t="s">
        <v>14</v>
      </c>
      <c r="I31">
        <v>13</v>
      </c>
      <c r="J31" t="s">
        <v>33</v>
      </c>
      <c r="K31" t="s">
        <v>14</v>
      </c>
      <c r="L31" t="s">
        <v>16</v>
      </c>
    </row>
    <row r="32" spans="1:12" x14ac:dyDescent="0.3">
      <c r="A32">
        <v>2031</v>
      </c>
      <c r="B32">
        <v>27</v>
      </c>
      <c r="C32" t="s">
        <v>38</v>
      </c>
      <c r="D32" t="s">
        <v>18</v>
      </c>
      <c r="E32" t="s">
        <v>51</v>
      </c>
      <c r="F32">
        <v>6</v>
      </c>
      <c r="G32">
        <v>2</v>
      </c>
      <c r="H32" t="s">
        <v>14</v>
      </c>
      <c r="I32">
        <v>10</v>
      </c>
      <c r="J32" t="s">
        <v>33</v>
      </c>
      <c r="K32" t="s">
        <v>16</v>
      </c>
      <c r="L32" t="s">
        <v>14</v>
      </c>
    </row>
    <row r="33" spans="1:12" x14ac:dyDescent="0.3">
      <c r="A33">
        <v>2032</v>
      </c>
      <c r="B33">
        <v>66</v>
      </c>
      <c r="C33" t="s">
        <v>38</v>
      </c>
      <c r="D33" t="s">
        <v>18</v>
      </c>
      <c r="E33" t="s">
        <v>50</v>
      </c>
      <c r="F33">
        <v>12</v>
      </c>
      <c r="G33">
        <v>2</v>
      </c>
      <c r="H33" t="s">
        <v>16</v>
      </c>
      <c r="I33">
        <v>14</v>
      </c>
      <c r="J33" t="s">
        <v>44</v>
      </c>
      <c r="K33" t="s">
        <v>16</v>
      </c>
      <c r="L33" t="s">
        <v>16</v>
      </c>
    </row>
    <row r="34" spans="1:12" x14ac:dyDescent="0.3">
      <c r="A34">
        <v>2033</v>
      </c>
      <c r="B34">
        <v>32</v>
      </c>
      <c r="C34" t="s">
        <v>38</v>
      </c>
      <c r="D34" t="s">
        <v>19</v>
      </c>
      <c r="E34" t="s">
        <v>41</v>
      </c>
      <c r="F34">
        <v>5</v>
      </c>
      <c r="G34">
        <v>5</v>
      </c>
      <c r="H34" t="s">
        <v>14</v>
      </c>
      <c r="J34" t="s">
        <v>33</v>
      </c>
      <c r="K34" t="s">
        <v>14</v>
      </c>
      <c r="L34" t="s">
        <v>14</v>
      </c>
    </row>
    <row r="35" spans="1:12" x14ac:dyDescent="0.3">
      <c r="A35">
        <v>2034</v>
      </c>
      <c r="B35">
        <v>85</v>
      </c>
      <c r="C35" t="s">
        <v>38</v>
      </c>
      <c r="D35" t="s">
        <v>15</v>
      </c>
      <c r="E35" t="s">
        <v>40</v>
      </c>
      <c r="F35">
        <v>10</v>
      </c>
      <c r="G35">
        <v>0</v>
      </c>
      <c r="H35" t="s">
        <v>14</v>
      </c>
      <c r="I35">
        <v>10</v>
      </c>
      <c r="J35" t="s">
        <v>36</v>
      </c>
      <c r="K35" t="s">
        <v>14</v>
      </c>
      <c r="L35" t="s">
        <v>16</v>
      </c>
    </row>
    <row r="36" spans="1:12" x14ac:dyDescent="0.3">
      <c r="A36">
        <v>2035</v>
      </c>
      <c r="B36">
        <v>43</v>
      </c>
      <c r="C36" t="s">
        <v>34</v>
      </c>
      <c r="D36" t="s">
        <v>19</v>
      </c>
      <c r="E36" t="s">
        <v>41</v>
      </c>
      <c r="F36">
        <v>12</v>
      </c>
      <c r="G36">
        <v>0</v>
      </c>
      <c r="H36" t="s">
        <v>16</v>
      </c>
      <c r="I36">
        <v>1</v>
      </c>
      <c r="J36" t="s">
        <v>33</v>
      </c>
      <c r="K36" t="s">
        <v>14</v>
      </c>
      <c r="L36" t="s">
        <v>16</v>
      </c>
    </row>
    <row r="37" spans="1:12" x14ac:dyDescent="0.3">
      <c r="A37">
        <v>2036</v>
      </c>
      <c r="B37">
        <v>68</v>
      </c>
      <c r="C37" t="s">
        <v>34</v>
      </c>
      <c r="D37" t="s">
        <v>15</v>
      </c>
      <c r="E37" t="s">
        <v>37</v>
      </c>
      <c r="F37">
        <v>14</v>
      </c>
      <c r="G37">
        <v>0</v>
      </c>
      <c r="H37" t="s">
        <v>14</v>
      </c>
      <c r="I37">
        <v>9</v>
      </c>
      <c r="J37" t="s">
        <v>44</v>
      </c>
      <c r="K37" t="s">
        <v>16</v>
      </c>
      <c r="L37" t="s">
        <v>14</v>
      </c>
    </row>
    <row r="38" spans="1:12" x14ac:dyDescent="0.3">
      <c r="A38">
        <v>2037</v>
      </c>
      <c r="B38">
        <v>63</v>
      </c>
      <c r="C38" t="s">
        <v>38</v>
      </c>
      <c r="D38" t="s">
        <v>18</v>
      </c>
      <c r="E38" t="s">
        <v>52</v>
      </c>
      <c r="F38">
        <v>1</v>
      </c>
      <c r="G38">
        <v>2</v>
      </c>
      <c r="H38" t="s">
        <v>16</v>
      </c>
      <c r="I38">
        <v>3</v>
      </c>
      <c r="J38" t="s">
        <v>48</v>
      </c>
      <c r="K38" t="s">
        <v>14</v>
      </c>
      <c r="L38" t="s">
        <v>16</v>
      </c>
    </row>
    <row r="39" spans="1:12" x14ac:dyDescent="0.3">
      <c r="A39">
        <v>2038</v>
      </c>
      <c r="B39">
        <v>36</v>
      </c>
      <c r="C39" t="s">
        <v>38</v>
      </c>
      <c r="D39" t="s">
        <v>13</v>
      </c>
      <c r="E39" t="s">
        <v>32</v>
      </c>
      <c r="F39">
        <v>7</v>
      </c>
      <c r="G39">
        <v>0</v>
      </c>
      <c r="H39" t="s">
        <v>14</v>
      </c>
      <c r="I39">
        <v>3</v>
      </c>
      <c r="J39" t="s">
        <v>48</v>
      </c>
      <c r="K39" t="s">
        <v>14</v>
      </c>
      <c r="L39" t="s">
        <v>16</v>
      </c>
    </row>
    <row r="40" spans="1:12" x14ac:dyDescent="0.3">
      <c r="A40">
        <v>2039</v>
      </c>
      <c r="B40">
        <v>30</v>
      </c>
      <c r="C40" t="s">
        <v>34</v>
      </c>
      <c r="D40" t="s">
        <v>15</v>
      </c>
      <c r="E40" t="s">
        <v>39</v>
      </c>
      <c r="F40">
        <v>2</v>
      </c>
      <c r="G40">
        <v>1</v>
      </c>
      <c r="H40" t="s">
        <v>16</v>
      </c>
      <c r="I40">
        <v>9</v>
      </c>
      <c r="J40" t="s">
        <v>44</v>
      </c>
      <c r="K40" t="s">
        <v>14</v>
      </c>
      <c r="L40" t="s">
        <v>16</v>
      </c>
    </row>
    <row r="41" spans="1:12" x14ac:dyDescent="0.3">
      <c r="A41">
        <v>2040</v>
      </c>
      <c r="B41">
        <v>60</v>
      </c>
      <c r="C41" t="s">
        <v>34</v>
      </c>
      <c r="D41" t="s">
        <v>19</v>
      </c>
      <c r="E41" t="s">
        <v>41</v>
      </c>
      <c r="F41">
        <v>13</v>
      </c>
      <c r="G41">
        <v>2</v>
      </c>
      <c r="H41" t="s">
        <v>14</v>
      </c>
      <c r="I41">
        <v>4</v>
      </c>
      <c r="J41" t="s">
        <v>33</v>
      </c>
      <c r="K41" t="s">
        <v>16</v>
      </c>
      <c r="L41" t="s">
        <v>14</v>
      </c>
    </row>
    <row r="42" spans="1:12" x14ac:dyDescent="0.3">
      <c r="A42">
        <v>2041</v>
      </c>
      <c r="B42">
        <v>45</v>
      </c>
      <c r="C42" t="s">
        <v>34</v>
      </c>
      <c r="D42" t="s">
        <v>13</v>
      </c>
      <c r="E42" t="s">
        <v>35</v>
      </c>
      <c r="F42">
        <v>1</v>
      </c>
      <c r="G42">
        <v>1</v>
      </c>
      <c r="H42" t="s">
        <v>14</v>
      </c>
      <c r="I42">
        <v>2</v>
      </c>
      <c r="J42" t="s">
        <v>44</v>
      </c>
      <c r="K42" t="s">
        <v>14</v>
      </c>
      <c r="L42" t="s">
        <v>16</v>
      </c>
    </row>
    <row r="43" spans="1:12" x14ac:dyDescent="0.3">
      <c r="A43">
        <v>2042</v>
      </c>
      <c r="B43">
        <v>83</v>
      </c>
      <c r="C43" t="s">
        <v>38</v>
      </c>
      <c r="D43" t="s">
        <v>18</v>
      </c>
      <c r="E43" t="s">
        <v>52</v>
      </c>
      <c r="F43">
        <v>3</v>
      </c>
      <c r="G43">
        <v>0</v>
      </c>
      <c r="H43" t="s">
        <v>16</v>
      </c>
      <c r="I43">
        <v>13</v>
      </c>
      <c r="J43" t="s">
        <v>33</v>
      </c>
      <c r="K43" t="s">
        <v>14</v>
      </c>
      <c r="L43" t="s">
        <v>16</v>
      </c>
    </row>
    <row r="44" spans="1:12" x14ac:dyDescent="0.3">
      <c r="A44">
        <v>2043</v>
      </c>
      <c r="B44">
        <v>30</v>
      </c>
      <c r="C44" t="s">
        <v>34</v>
      </c>
      <c r="D44" t="s">
        <v>17</v>
      </c>
      <c r="E44" t="s">
        <v>49</v>
      </c>
      <c r="F44">
        <v>14</v>
      </c>
      <c r="G44">
        <v>2</v>
      </c>
      <c r="H44" t="s">
        <v>16</v>
      </c>
      <c r="I44">
        <v>3</v>
      </c>
      <c r="J44" t="s">
        <v>44</v>
      </c>
      <c r="K44" t="s">
        <v>16</v>
      </c>
      <c r="L44" t="s">
        <v>14</v>
      </c>
    </row>
    <row r="45" spans="1:12" x14ac:dyDescent="0.3">
      <c r="A45">
        <v>2044</v>
      </c>
      <c r="B45">
        <v>28</v>
      </c>
      <c r="C45" t="s">
        <v>34</v>
      </c>
      <c r="D45" t="s">
        <v>13</v>
      </c>
      <c r="E45" t="s">
        <v>32</v>
      </c>
      <c r="F45">
        <v>11</v>
      </c>
      <c r="G45">
        <v>1</v>
      </c>
      <c r="H45" t="s">
        <v>16</v>
      </c>
      <c r="I45">
        <v>10</v>
      </c>
      <c r="J45" t="s">
        <v>36</v>
      </c>
      <c r="K45" t="s">
        <v>16</v>
      </c>
      <c r="L45" t="s">
        <v>16</v>
      </c>
    </row>
    <row r="46" spans="1:12" x14ac:dyDescent="0.3">
      <c r="A46">
        <v>2045</v>
      </c>
      <c r="B46">
        <v>56</v>
      </c>
      <c r="C46" t="s">
        <v>38</v>
      </c>
      <c r="D46" t="s">
        <v>13</v>
      </c>
      <c r="E46" t="s">
        <v>43</v>
      </c>
      <c r="F46">
        <v>8</v>
      </c>
      <c r="G46">
        <v>1</v>
      </c>
      <c r="H46" t="s">
        <v>16</v>
      </c>
      <c r="I46">
        <v>13</v>
      </c>
      <c r="J46" t="s">
        <v>44</v>
      </c>
      <c r="K46" t="s">
        <v>14</v>
      </c>
      <c r="L46" t="s">
        <v>16</v>
      </c>
    </row>
    <row r="47" spans="1:12" x14ac:dyDescent="0.3">
      <c r="A47">
        <v>2046</v>
      </c>
      <c r="B47">
        <v>78</v>
      </c>
      <c r="C47" t="s">
        <v>38</v>
      </c>
      <c r="D47" t="s">
        <v>18</v>
      </c>
      <c r="E47" t="s">
        <v>50</v>
      </c>
      <c r="F47">
        <v>10</v>
      </c>
      <c r="G47">
        <v>1</v>
      </c>
      <c r="H47" t="s">
        <v>14</v>
      </c>
      <c r="I47">
        <v>11</v>
      </c>
      <c r="J47" t="s">
        <v>44</v>
      </c>
      <c r="K47" t="s">
        <v>14</v>
      </c>
      <c r="L47" t="s">
        <v>16</v>
      </c>
    </row>
    <row r="48" spans="1:12" x14ac:dyDescent="0.3">
      <c r="A48">
        <v>2047</v>
      </c>
      <c r="B48">
        <v>76</v>
      </c>
      <c r="C48" t="s">
        <v>34</v>
      </c>
      <c r="D48" t="s">
        <v>19</v>
      </c>
      <c r="E48" t="s">
        <v>46</v>
      </c>
      <c r="F48">
        <v>1</v>
      </c>
      <c r="G48">
        <v>2</v>
      </c>
      <c r="H48" t="s">
        <v>16</v>
      </c>
      <c r="I48">
        <v>10</v>
      </c>
      <c r="J48" t="s">
        <v>33</v>
      </c>
      <c r="K48" t="s">
        <v>16</v>
      </c>
      <c r="L48" t="s">
        <v>16</v>
      </c>
    </row>
    <row r="49" spans="1:12" x14ac:dyDescent="0.3">
      <c r="A49">
        <v>2048</v>
      </c>
      <c r="B49">
        <v>68</v>
      </c>
      <c r="C49" t="s">
        <v>38</v>
      </c>
      <c r="D49" t="s">
        <v>17</v>
      </c>
      <c r="E49" t="s">
        <v>49</v>
      </c>
      <c r="F49">
        <v>13</v>
      </c>
      <c r="G49">
        <v>1</v>
      </c>
      <c r="H49" t="s">
        <v>16</v>
      </c>
      <c r="I49">
        <v>5</v>
      </c>
      <c r="J49" t="s">
        <v>44</v>
      </c>
      <c r="K49" t="s">
        <v>14</v>
      </c>
      <c r="L49" t="s">
        <v>16</v>
      </c>
    </row>
    <row r="50" spans="1:12" x14ac:dyDescent="0.3">
      <c r="A50">
        <v>2049</v>
      </c>
      <c r="B50">
        <v>59</v>
      </c>
      <c r="C50" t="s">
        <v>38</v>
      </c>
      <c r="D50" t="s">
        <v>15</v>
      </c>
      <c r="E50" t="s">
        <v>40</v>
      </c>
      <c r="F50">
        <v>11</v>
      </c>
      <c r="G50">
        <v>2</v>
      </c>
      <c r="H50" t="s">
        <v>16</v>
      </c>
      <c r="I50">
        <v>9</v>
      </c>
      <c r="J50" t="s">
        <v>33</v>
      </c>
      <c r="K50" t="s">
        <v>14</v>
      </c>
      <c r="L50" t="s">
        <v>16</v>
      </c>
    </row>
    <row r="51" spans="1:12" x14ac:dyDescent="0.3">
      <c r="A51">
        <v>2050</v>
      </c>
      <c r="B51">
        <v>49</v>
      </c>
      <c r="C51" t="s">
        <v>34</v>
      </c>
      <c r="D51" t="s">
        <v>17</v>
      </c>
      <c r="E51" t="s">
        <v>53</v>
      </c>
      <c r="F51">
        <v>8</v>
      </c>
      <c r="G51">
        <v>2</v>
      </c>
      <c r="H51" t="s">
        <v>16</v>
      </c>
      <c r="I51">
        <v>14</v>
      </c>
      <c r="J51" t="s">
        <v>44</v>
      </c>
      <c r="K51" t="s">
        <v>14</v>
      </c>
      <c r="L51" t="s">
        <v>16</v>
      </c>
    </row>
    <row r="52" spans="1:12" x14ac:dyDescent="0.3">
      <c r="A52">
        <v>2051</v>
      </c>
      <c r="B52">
        <v>24</v>
      </c>
      <c r="C52" t="s">
        <v>38</v>
      </c>
      <c r="D52" t="s">
        <v>17</v>
      </c>
      <c r="E52" t="s">
        <v>53</v>
      </c>
      <c r="F52">
        <v>12</v>
      </c>
      <c r="G52">
        <v>0</v>
      </c>
      <c r="H52" t="s">
        <v>16</v>
      </c>
      <c r="I52">
        <v>13</v>
      </c>
      <c r="J52" t="s">
        <v>36</v>
      </c>
      <c r="K52" t="s">
        <v>14</v>
      </c>
      <c r="L52" t="s">
        <v>16</v>
      </c>
    </row>
    <row r="53" spans="1:12" x14ac:dyDescent="0.3">
      <c r="A53">
        <v>2052</v>
      </c>
      <c r="B53">
        <v>49</v>
      </c>
      <c r="C53" t="s">
        <v>34</v>
      </c>
      <c r="D53" t="s">
        <v>15</v>
      </c>
      <c r="E53" t="s">
        <v>40</v>
      </c>
      <c r="F53">
        <v>6</v>
      </c>
      <c r="G53">
        <v>0</v>
      </c>
      <c r="H53" t="s">
        <v>14</v>
      </c>
      <c r="I53">
        <v>11</v>
      </c>
      <c r="J53" t="s">
        <v>33</v>
      </c>
      <c r="K53" t="s">
        <v>14</v>
      </c>
      <c r="L53" t="s">
        <v>16</v>
      </c>
    </row>
    <row r="54" spans="1:12" x14ac:dyDescent="0.3">
      <c r="A54">
        <v>2053</v>
      </c>
      <c r="B54">
        <v>53</v>
      </c>
      <c r="C54" t="s">
        <v>34</v>
      </c>
      <c r="D54" t="s">
        <v>15</v>
      </c>
      <c r="E54" t="s">
        <v>37</v>
      </c>
      <c r="F54">
        <v>1</v>
      </c>
      <c r="G54">
        <v>0</v>
      </c>
      <c r="H54" t="s">
        <v>14</v>
      </c>
      <c r="I54">
        <v>9</v>
      </c>
      <c r="J54" t="s">
        <v>33</v>
      </c>
      <c r="K54" t="s">
        <v>14</v>
      </c>
      <c r="L54" t="s">
        <v>16</v>
      </c>
    </row>
    <row r="55" spans="1:12" x14ac:dyDescent="0.3">
      <c r="A55">
        <v>2054</v>
      </c>
      <c r="B55">
        <v>19</v>
      </c>
      <c r="C55" t="s">
        <v>38</v>
      </c>
      <c r="D55" t="s">
        <v>19</v>
      </c>
      <c r="E55" t="s">
        <v>41</v>
      </c>
      <c r="F55">
        <v>4</v>
      </c>
      <c r="G55">
        <v>0</v>
      </c>
      <c r="H55" t="s">
        <v>16</v>
      </c>
      <c r="I55">
        <v>13</v>
      </c>
      <c r="J55" t="s">
        <v>44</v>
      </c>
      <c r="K55" t="s">
        <v>14</v>
      </c>
      <c r="L55" t="s">
        <v>16</v>
      </c>
    </row>
    <row r="56" spans="1:12" x14ac:dyDescent="0.3">
      <c r="A56">
        <v>2055</v>
      </c>
      <c r="B56">
        <v>28</v>
      </c>
      <c r="C56" t="s">
        <v>34</v>
      </c>
      <c r="D56" t="s">
        <v>19</v>
      </c>
      <c r="E56" t="s">
        <v>46</v>
      </c>
      <c r="F56">
        <v>9</v>
      </c>
      <c r="G56">
        <v>1</v>
      </c>
      <c r="H56" t="s">
        <v>16</v>
      </c>
      <c r="I56">
        <v>13</v>
      </c>
      <c r="J56" t="s">
        <v>33</v>
      </c>
      <c r="K56" t="s">
        <v>14</v>
      </c>
      <c r="L56" t="s">
        <v>16</v>
      </c>
    </row>
    <row r="57" spans="1:12" x14ac:dyDescent="0.3">
      <c r="A57">
        <v>2056</v>
      </c>
      <c r="B57">
        <v>41</v>
      </c>
      <c r="C57" t="s">
        <v>38</v>
      </c>
      <c r="D57" t="s">
        <v>19</v>
      </c>
      <c r="E57" t="s">
        <v>41</v>
      </c>
      <c r="F57">
        <v>1</v>
      </c>
      <c r="G57">
        <v>2</v>
      </c>
      <c r="H57" t="s">
        <v>14</v>
      </c>
      <c r="I57">
        <v>6</v>
      </c>
      <c r="J57" t="s">
        <v>44</v>
      </c>
      <c r="K57" t="s">
        <v>14</v>
      </c>
      <c r="L57" t="s">
        <v>16</v>
      </c>
    </row>
    <row r="58" spans="1:12" x14ac:dyDescent="0.3">
      <c r="A58">
        <v>2057</v>
      </c>
      <c r="B58">
        <v>74</v>
      </c>
      <c r="C58" t="s">
        <v>38</v>
      </c>
      <c r="D58" t="s">
        <v>17</v>
      </c>
      <c r="E58" t="s">
        <v>53</v>
      </c>
      <c r="F58">
        <v>4</v>
      </c>
      <c r="G58">
        <v>1</v>
      </c>
      <c r="H58" t="s">
        <v>16</v>
      </c>
      <c r="I58">
        <v>13</v>
      </c>
      <c r="J58" t="s">
        <v>33</v>
      </c>
      <c r="K58" t="s">
        <v>14</v>
      </c>
      <c r="L58" t="s">
        <v>16</v>
      </c>
    </row>
    <row r="59" spans="1:12" x14ac:dyDescent="0.3">
      <c r="A59">
        <v>2058</v>
      </c>
      <c r="B59">
        <v>25</v>
      </c>
      <c r="C59" t="s">
        <v>38</v>
      </c>
      <c r="D59" t="s">
        <v>13</v>
      </c>
      <c r="E59" t="s">
        <v>43</v>
      </c>
      <c r="F59">
        <v>9</v>
      </c>
      <c r="G59">
        <v>1</v>
      </c>
      <c r="H59" t="s">
        <v>16</v>
      </c>
      <c r="I59">
        <v>2</v>
      </c>
      <c r="J59" t="s">
        <v>33</v>
      </c>
      <c r="K59" t="s">
        <v>16</v>
      </c>
      <c r="L59" t="s">
        <v>16</v>
      </c>
    </row>
    <row r="60" spans="1:12" x14ac:dyDescent="0.3">
      <c r="A60">
        <v>2059</v>
      </c>
      <c r="B60">
        <v>61</v>
      </c>
      <c r="C60" t="s">
        <v>38</v>
      </c>
      <c r="D60" t="s">
        <v>19</v>
      </c>
      <c r="E60" t="s">
        <v>46</v>
      </c>
      <c r="F60">
        <v>6</v>
      </c>
      <c r="G60">
        <v>1</v>
      </c>
      <c r="H60" t="s">
        <v>16</v>
      </c>
      <c r="I60">
        <v>8</v>
      </c>
      <c r="J60" t="s">
        <v>33</v>
      </c>
      <c r="K60" t="s">
        <v>14</v>
      </c>
      <c r="L60" t="s">
        <v>16</v>
      </c>
    </row>
    <row r="61" spans="1:12" x14ac:dyDescent="0.3">
      <c r="A61">
        <v>2060</v>
      </c>
      <c r="B61">
        <v>34</v>
      </c>
      <c r="C61" t="s">
        <v>38</v>
      </c>
      <c r="D61" t="s">
        <v>18</v>
      </c>
      <c r="E61" t="s">
        <v>51</v>
      </c>
      <c r="F61">
        <v>1</v>
      </c>
      <c r="G61">
        <v>0</v>
      </c>
      <c r="H61" t="s">
        <v>14</v>
      </c>
      <c r="I61">
        <v>12</v>
      </c>
      <c r="J61" t="s">
        <v>33</v>
      </c>
      <c r="K61" t="s">
        <v>14</v>
      </c>
      <c r="L61" t="s">
        <v>16</v>
      </c>
    </row>
    <row r="62" spans="1:12" x14ac:dyDescent="0.3">
      <c r="A62">
        <v>2061</v>
      </c>
      <c r="B62">
        <v>47</v>
      </c>
      <c r="C62" t="s">
        <v>34</v>
      </c>
      <c r="D62" t="s">
        <v>13</v>
      </c>
      <c r="E62" t="s">
        <v>35</v>
      </c>
      <c r="F62">
        <v>7</v>
      </c>
      <c r="G62">
        <v>1</v>
      </c>
      <c r="H62" t="s">
        <v>16</v>
      </c>
      <c r="I62">
        <v>6</v>
      </c>
      <c r="J62" t="s">
        <v>36</v>
      </c>
      <c r="K62" t="s">
        <v>16</v>
      </c>
      <c r="L62" t="s">
        <v>16</v>
      </c>
    </row>
    <row r="63" spans="1:12" x14ac:dyDescent="0.3">
      <c r="A63">
        <v>2062</v>
      </c>
      <c r="B63">
        <v>60</v>
      </c>
      <c r="C63" t="s">
        <v>38</v>
      </c>
      <c r="D63" t="s">
        <v>19</v>
      </c>
      <c r="E63" t="s">
        <v>45</v>
      </c>
      <c r="F63">
        <v>14</v>
      </c>
      <c r="G63">
        <v>1</v>
      </c>
      <c r="H63" t="s">
        <v>16</v>
      </c>
      <c r="I63">
        <v>9</v>
      </c>
      <c r="J63" t="s">
        <v>33</v>
      </c>
      <c r="K63" t="s">
        <v>14</v>
      </c>
      <c r="L63" t="s">
        <v>16</v>
      </c>
    </row>
    <row r="64" spans="1:12" x14ac:dyDescent="0.3">
      <c r="A64">
        <v>2063</v>
      </c>
      <c r="B64">
        <v>79</v>
      </c>
      <c r="C64" t="s">
        <v>38</v>
      </c>
      <c r="D64" t="s">
        <v>15</v>
      </c>
      <c r="E64" t="s">
        <v>39</v>
      </c>
      <c r="F64">
        <v>6</v>
      </c>
      <c r="G64">
        <v>0</v>
      </c>
      <c r="H64" t="s">
        <v>14</v>
      </c>
      <c r="I64">
        <v>6</v>
      </c>
      <c r="J64" t="s">
        <v>33</v>
      </c>
      <c r="K64" t="s">
        <v>14</v>
      </c>
      <c r="L64" t="s">
        <v>16</v>
      </c>
    </row>
    <row r="65" spans="1:12" x14ac:dyDescent="0.3">
      <c r="A65">
        <v>2064</v>
      </c>
      <c r="B65">
        <v>84</v>
      </c>
      <c r="C65" t="s">
        <v>38</v>
      </c>
      <c r="D65" t="s">
        <v>18</v>
      </c>
      <c r="E65" t="s">
        <v>50</v>
      </c>
      <c r="F65">
        <v>13</v>
      </c>
      <c r="G65">
        <v>1</v>
      </c>
      <c r="H65" t="s">
        <v>14</v>
      </c>
      <c r="I65">
        <v>1</v>
      </c>
      <c r="J65" t="s">
        <v>33</v>
      </c>
      <c r="K65" t="s">
        <v>14</v>
      </c>
      <c r="L65" t="s">
        <v>16</v>
      </c>
    </row>
    <row r="66" spans="1:12" x14ac:dyDescent="0.3">
      <c r="A66">
        <v>2065</v>
      </c>
      <c r="B66">
        <v>73</v>
      </c>
      <c r="C66" t="s">
        <v>38</v>
      </c>
      <c r="D66" t="s">
        <v>19</v>
      </c>
      <c r="E66" t="s">
        <v>41</v>
      </c>
      <c r="F66">
        <v>3</v>
      </c>
      <c r="G66">
        <v>1</v>
      </c>
      <c r="H66" t="s">
        <v>16</v>
      </c>
      <c r="I66">
        <v>10</v>
      </c>
      <c r="J66" t="s">
        <v>33</v>
      </c>
      <c r="K66" t="s">
        <v>16</v>
      </c>
      <c r="L66" t="s">
        <v>16</v>
      </c>
    </row>
    <row r="67" spans="1:12" x14ac:dyDescent="0.3">
      <c r="A67">
        <v>2066</v>
      </c>
      <c r="B67">
        <v>40</v>
      </c>
      <c r="C67" t="s">
        <v>34</v>
      </c>
      <c r="D67" t="s">
        <v>13</v>
      </c>
      <c r="E67" t="s">
        <v>32</v>
      </c>
      <c r="F67">
        <v>11</v>
      </c>
      <c r="G67">
        <v>2</v>
      </c>
      <c r="H67" t="s">
        <v>14</v>
      </c>
      <c r="I67">
        <v>4</v>
      </c>
      <c r="J67" t="s">
        <v>33</v>
      </c>
      <c r="K67" t="s">
        <v>14</v>
      </c>
      <c r="L67" t="s">
        <v>14</v>
      </c>
    </row>
    <row r="68" spans="1:12" x14ac:dyDescent="0.3">
      <c r="A68">
        <v>2067</v>
      </c>
      <c r="B68">
        <v>29</v>
      </c>
      <c r="C68" t="s">
        <v>34</v>
      </c>
      <c r="D68" t="s">
        <v>13</v>
      </c>
      <c r="E68" t="s">
        <v>35</v>
      </c>
      <c r="F68">
        <v>6</v>
      </c>
      <c r="G68">
        <v>1</v>
      </c>
      <c r="H68" t="s">
        <v>16</v>
      </c>
      <c r="I68">
        <v>11</v>
      </c>
      <c r="J68" t="s">
        <v>36</v>
      </c>
      <c r="K68" t="s">
        <v>14</v>
      </c>
      <c r="L68" t="s">
        <v>16</v>
      </c>
    </row>
    <row r="69" spans="1:12" x14ac:dyDescent="0.3">
      <c r="A69">
        <v>2068</v>
      </c>
      <c r="B69">
        <v>67</v>
      </c>
      <c r="C69" t="s">
        <v>38</v>
      </c>
      <c r="D69" t="s">
        <v>15</v>
      </c>
      <c r="E69" t="s">
        <v>37</v>
      </c>
      <c r="F69">
        <v>8</v>
      </c>
      <c r="G69">
        <v>2</v>
      </c>
      <c r="H69" t="s">
        <v>16</v>
      </c>
      <c r="I69">
        <v>13</v>
      </c>
      <c r="J69" t="s">
        <v>33</v>
      </c>
      <c r="K69" t="s">
        <v>14</v>
      </c>
      <c r="L69" t="s">
        <v>16</v>
      </c>
    </row>
    <row r="70" spans="1:12" x14ac:dyDescent="0.3">
      <c r="A70">
        <v>2069</v>
      </c>
      <c r="B70">
        <v>89</v>
      </c>
      <c r="C70" t="s">
        <v>31</v>
      </c>
      <c r="D70" t="s">
        <v>13</v>
      </c>
      <c r="E70" t="s">
        <v>43</v>
      </c>
      <c r="F70">
        <v>5</v>
      </c>
      <c r="G70">
        <v>2</v>
      </c>
      <c r="H70" t="s">
        <v>14</v>
      </c>
      <c r="I70">
        <v>11</v>
      </c>
      <c r="J70" t="s">
        <v>33</v>
      </c>
      <c r="K70" t="s">
        <v>16</v>
      </c>
      <c r="L70" t="s">
        <v>14</v>
      </c>
    </row>
    <row r="71" spans="1:12" x14ac:dyDescent="0.3">
      <c r="A71">
        <v>2070</v>
      </c>
      <c r="B71">
        <v>21</v>
      </c>
      <c r="C71" t="s">
        <v>34</v>
      </c>
      <c r="D71" t="s">
        <v>15</v>
      </c>
      <c r="E71" t="s">
        <v>39</v>
      </c>
      <c r="F71">
        <v>4</v>
      </c>
      <c r="G71">
        <v>3</v>
      </c>
      <c r="H71" t="s">
        <v>14</v>
      </c>
      <c r="I71">
        <v>11</v>
      </c>
      <c r="J71" t="s">
        <v>33</v>
      </c>
      <c r="K71" t="s">
        <v>14</v>
      </c>
      <c r="L71" t="s">
        <v>16</v>
      </c>
    </row>
    <row r="72" spans="1:12" x14ac:dyDescent="0.3">
      <c r="A72">
        <v>2071</v>
      </c>
      <c r="B72">
        <v>25</v>
      </c>
      <c r="C72" t="s">
        <v>34</v>
      </c>
      <c r="D72" t="s">
        <v>19</v>
      </c>
      <c r="E72" t="s">
        <v>45</v>
      </c>
      <c r="F72">
        <v>2</v>
      </c>
      <c r="G72">
        <v>2</v>
      </c>
      <c r="H72" t="s">
        <v>16</v>
      </c>
      <c r="I72">
        <v>14</v>
      </c>
      <c r="J72" t="s">
        <v>33</v>
      </c>
      <c r="K72" t="s">
        <v>14</v>
      </c>
      <c r="L72" t="s">
        <v>16</v>
      </c>
    </row>
    <row r="73" spans="1:12" x14ac:dyDescent="0.3">
      <c r="A73">
        <v>2072</v>
      </c>
      <c r="B73">
        <v>73</v>
      </c>
      <c r="C73" t="s">
        <v>38</v>
      </c>
      <c r="D73" t="s">
        <v>19</v>
      </c>
      <c r="E73" t="s">
        <v>45</v>
      </c>
      <c r="F73">
        <v>4</v>
      </c>
      <c r="G73">
        <v>1</v>
      </c>
      <c r="H73" t="s">
        <v>16</v>
      </c>
      <c r="I73">
        <v>2</v>
      </c>
      <c r="J73" t="s">
        <v>48</v>
      </c>
      <c r="K73" t="s">
        <v>16</v>
      </c>
      <c r="L73" t="s">
        <v>16</v>
      </c>
    </row>
    <row r="74" spans="1:12" x14ac:dyDescent="0.3">
      <c r="A74">
        <v>2073</v>
      </c>
      <c r="B74">
        <v>72</v>
      </c>
      <c r="C74" t="s">
        <v>34</v>
      </c>
      <c r="D74" t="s">
        <v>19</v>
      </c>
      <c r="E74" t="s">
        <v>46</v>
      </c>
      <c r="F74">
        <v>4</v>
      </c>
      <c r="G74">
        <v>1</v>
      </c>
      <c r="H74" t="s">
        <v>16</v>
      </c>
      <c r="I74">
        <v>4</v>
      </c>
      <c r="J74" t="s">
        <v>44</v>
      </c>
      <c r="K74" t="s">
        <v>14</v>
      </c>
      <c r="L74" t="s">
        <v>16</v>
      </c>
    </row>
    <row r="75" spans="1:12" x14ac:dyDescent="0.3">
      <c r="A75">
        <v>2074</v>
      </c>
      <c r="B75">
        <v>25</v>
      </c>
      <c r="C75" t="s">
        <v>34</v>
      </c>
      <c r="D75" t="s">
        <v>15</v>
      </c>
      <c r="E75" t="s">
        <v>37</v>
      </c>
      <c r="F75">
        <v>12</v>
      </c>
      <c r="G75">
        <v>1</v>
      </c>
      <c r="H75" t="s">
        <v>16</v>
      </c>
      <c r="I75">
        <v>6</v>
      </c>
      <c r="J75" t="s">
        <v>33</v>
      </c>
      <c r="K75" t="s">
        <v>14</v>
      </c>
      <c r="L75" t="s">
        <v>16</v>
      </c>
    </row>
    <row r="76" spans="1:12" x14ac:dyDescent="0.3">
      <c r="A76">
        <v>2075</v>
      </c>
      <c r="B76">
        <v>33</v>
      </c>
      <c r="C76" t="s">
        <v>34</v>
      </c>
      <c r="D76" t="s">
        <v>13</v>
      </c>
      <c r="E76" t="s">
        <v>32</v>
      </c>
      <c r="F76">
        <v>7</v>
      </c>
      <c r="G76">
        <v>0</v>
      </c>
      <c r="H76" t="s">
        <v>14</v>
      </c>
      <c r="I76">
        <v>12</v>
      </c>
      <c r="J76" t="s">
        <v>33</v>
      </c>
      <c r="K76" t="s">
        <v>14</v>
      </c>
      <c r="L76" t="s">
        <v>16</v>
      </c>
    </row>
    <row r="77" spans="1:12" x14ac:dyDescent="0.3">
      <c r="A77">
        <v>2076</v>
      </c>
      <c r="B77">
        <v>50</v>
      </c>
      <c r="C77" t="s">
        <v>34</v>
      </c>
      <c r="D77" t="s">
        <v>19</v>
      </c>
      <c r="E77" t="s">
        <v>46</v>
      </c>
      <c r="F77">
        <v>8</v>
      </c>
      <c r="G77">
        <v>2</v>
      </c>
      <c r="H77" t="s">
        <v>14</v>
      </c>
      <c r="I77">
        <v>10</v>
      </c>
      <c r="J77" t="s">
        <v>44</v>
      </c>
      <c r="K77" t="s">
        <v>16</v>
      </c>
      <c r="L77" t="s">
        <v>14</v>
      </c>
    </row>
    <row r="78" spans="1:12" x14ac:dyDescent="0.3">
      <c r="A78">
        <v>2077</v>
      </c>
      <c r="B78">
        <v>44</v>
      </c>
      <c r="C78" t="s">
        <v>34</v>
      </c>
      <c r="D78" t="s">
        <v>19</v>
      </c>
      <c r="E78" t="s">
        <v>46</v>
      </c>
      <c r="F78">
        <v>14</v>
      </c>
      <c r="G78">
        <v>1</v>
      </c>
      <c r="H78" t="s">
        <v>16</v>
      </c>
      <c r="I78">
        <v>9</v>
      </c>
      <c r="J78" t="s">
        <v>33</v>
      </c>
      <c r="K78" t="s">
        <v>14</v>
      </c>
      <c r="L78" t="s">
        <v>16</v>
      </c>
    </row>
    <row r="79" spans="1:12" x14ac:dyDescent="0.3">
      <c r="A79">
        <v>2078</v>
      </c>
      <c r="B79">
        <v>51</v>
      </c>
      <c r="C79" t="s">
        <v>38</v>
      </c>
      <c r="D79" t="s">
        <v>19</v>
      </c>
      <c r="E79" t="s">
        <v>41</v>
      </c>
      <c r="F79">
        <v>12</v>
      </c>
      <c r="G79">
        <v>1</v>
      </c>
      <c r="H79" t="s">
        <v>14</v>
      </c>
      <c r="I79">
        <v>14</v>
      </c>
      <c r="J79" t="s">
        <v>48</v>
      </c>
      <c r="K79" t="s">
        <v>16</v>
      </c>
      <c r="L79" t="s">
        <v>14</v>
      </c>
    </row>
    <row r="80" spans="1:12" x14ac:dyDescent="0.3">
      <c r="A80">
        <v>2079</v>
      </c>
      <c r="B80">
        <v>73</v>
      </c>
      <c r="C80" t="s">
        <v>34</v>
      </c>
      <c r="D80" t="s">
        <v>19</v>
      </c>
      <c r="E80" t="s">
        <v>41</v>
      </c>
      <c r="F80">
        <v>5</v>
      </c>
      <c r="G80">
        <v>0</v>
      </c>
      <c r="H80" t="s">
        <v>16</v>
      </c>
      <c r="I80">
        <v>6</v>
      </c>
      <c r="J80" t="s">
        <v>33</v>
      </c>
      <c r="K80" t="s">
        <v>14</v>
      </c>
      <c r="L80" t="s">
        <v>16</v>
      </c>
    </row>
    <row r="81" spans="1:12" x14ac:dyDescent="0.3">
      <c r="A81">
        <v>2080</v>
      </c>
      <c r="B81">
        <v>52</v>
      </c>
      <c r="C81" t="s">
        <v>38</v>
      </c>
      <c r="D81" t="s">
        <v>18</v>
      </c>
      <c r="E81" t="s">
        <v>50</v>
      </c>
      <c r="F81">
        <v>13</v>
      </c>
      <c r="G81">
        <v>3</v>
      </c>
      <c r="H81" t="s">
        <v>16</v>
      </c>
      <c r="I81">
        <v>5</v>
      </c>
      <c r="J81" t="s">
        <v>33</v>
      </c>
      <c r="K81" t="s">
        <v>14</v>
      </c>
      <c r="L81" t="s">
        <v>16</v>
      </c>
    </row>
    <row r="82" spans="1:12" x14ac:dyDescent="0.3">
      <c r="A82">
        <v>2081</v>
      </c>
      <c r="B82">
        <v>28</v>
      </c>
      <c r="C82" t="s">
        <v>38</v>
      </c>
      <c r="D82" t="s">
        <v>17</v>
      </c>
      <c r="E82" t="s">
        <v>53</v>
      </c>
      <c r="F82">
        <v>8</v>
      </c>
      <c r="G82">
        <v>1</v>
      </c>
      <c r="H82" t="s">
        <v>14</v>
      </c>
      <c r="I82">
        <v>2</v>
      </c>
      <c r="J82" t="s">
        <v>36</v>
      </c>
      <c r="K82" t="s">
        <v>16</v>
      </c>
      <c r="L82" t="s">
        <v>14</v>
      </c>
    </row>
    <row r="83" spans="1:12" x14ac:dyDescent="0.3">
      <c r="A83">
        <v>2082</v>
      </c>
      <c r="B83">
        <v>31</v>
      </c>
      <c r="C83" t="s">
        <v>38</v>
      </c>
      <c r="D83" t="s">
        <v>17</v>
      </c>
      <c r="E83" t="s">
        <v>42</v>
      </c>
      <c r="F83">
        <v>6</v>
      </c>
      <c r="G83">
        <v>3</v>
      </c>
      <c r="H83" t="s">
        <v>14</v>
      </c>
      <c r="I83">
        <v>5</v>
      </c>
      <c r="J83" t="s">
        <v>48</v>
      </c>
      <c r="K83" t="s">
        <v>16</v>
      </c>
      <c r="L83" t="s">
        <v>14</v>
      </c>
    </row>
    <row r="84" spans="1:12" x14ac:dyDescent="0.3">
      <c r="A84">
        <v>2083</v>
      </c>
      <c r="B84">
        <v>53</v>
      </c>
      <c r="C84" t="s">
        <v>34</v>
      </c>
      <c r="D84" t="s">
        <v>15</v>
      </c>
      <c r="E84" t="s">
        <v>40</v>
      </c>
      <c r="F84">
        <v>9</v>
      </c>
      <c r="G84">
        <v>2</v>
      </c>
      <c r="H84" t="s">
        <v>16</v>
      </c>
      <c r="I84">
        <v>8</v>
      </c>
      <c r="J84" t="s">
        <v>48</v>
      </c>
      <c r="K84" t="s">
        <v>14</v>
      </c>
      <c r="L84" t="s">
        <v>16</v>
      </c>
    </row>
    <row r="85" spans="1:12" x14ac:dyDescent="0.3">
      <c r="A85">
        <v>2084</v>
      </c>
      <c r="B85">
        <v>62</v>
      </c>
      <c r="C85" t="s">
        <v>34</v>
      </c>
      <c r="D85" t="s">
        <v>18</v>
      </c>
      <c r="E85" t="s">
        <v>51</v>
      </c>
      <c r="F85">
        <v>6</v>
      </c>
      <c r="G85">
        <v>0</v>
      </c>
      <c r="H85" t="s">
        <v>16</v>
      </c>
      <c r="I85">
        <v>7</v>
      </c>
      <c r="J85" t="s">
        <v>33</v>
      </c>
      <c r="K85" t="s">
        <v>16</v>
      </c>
      <c r="L85" t="s">
        <v>16</v>
      </c>
    </row>
    <row r="86" spans="1:12" x14ac:dyDescent="0.3">
      <c r="A86">
        <v>2085</v>
      </c>
      <c r="B86">
        <v>20</v>
      </c>
      <c r="C86" t="s">
        <v>38</v>
      </c>
      <c r="D86" t="s">
        <v>13</v>
      </c>
      <c r="E86" t="s">
        <v>43</v>
      </c>
      <c r="F86">
        <v>6</v>
      </c>
      <c r="G86">
        <v>4</v>
      </c>
      <c r="H86" t="s">
        <v>16</v>
      </c>
      <c r="J86" t="s">
        <v>33</v>
      </c>
      <c r="K86" t="s">
        <v>16</v>
      </c>
      <c r="L86" t="s">
        <v>16</v>
      </c>
    </row>
    <row r="87" spans="1:12" x14ac:dyDescent="0.3">
      <c r="A87">
        <v>2086</v>
      </c>
      <c r="B87">
        <v>66</v>
      </c>
      <c r="C87" t="s">
        <v>38</v>
      </c>
      <c r="D87" t="s">
        <v>15</v>
      </c>
      <c r="E87" t="s">
        <v>40</v>
      </c>
      <c r="F87">
        <v>2</v>
      </c>
      <c r="G87">
        <v>2</v>
      </c>
      <c r="H87" t="s">
        <v>16</v>
      </c>
      <c r="I87">
        <v>12</v>
      </c>
      <c r="J87" t="s">
        <v>33</v>
      </c>
      <c r="K87" t="s">
        <v>14</v>
      </c>
      <c r="L87" t="s">
        <v>16</v>
      </c>
    </row>
    <row r="88" spans="1:12" x14ac:dyDescent="0.3">
      <c r="A88">
        <v>2087</v>
      </c>
      <c r="B88">
        <v>63</v>
      </c>
      <c r="C88" t="s">
        <v>34</v>
      </c>
      <c r="D88" t="s">
        <v>15</v>
      </c>
      <c r="E88" t="s">
        <v>37</v>
      </c>
      <c r="F88">
        <v>5</v>
      </c>
      <c r="G88">
        <v>1</v>
      </c>
      <c r="H88" t="s">
        <v>14</v>
      </c>
      <c r="I88">
        <v>7</v>
      </c>
      <c r="J88" t="s">
        <v>44</v>
      </c>
      <c r="K88" t="s">
        <v>14</v>
      </c>
      <c r="L88" t="s">
        <v>16</v>
      </c>
    </row>
    <row r="89" spans="1:12" x14ac:dyDescent="0.3">
      <c r="A89">
        <v>2088</v>
      </c>
      <c r="B89">
        <v>75</v>
      </c>
      <c r="C89" t="s">
        <v>34</v>
      </c>
      <c r="D89" t="s">
        <v>18</v>
      </c>
      <c r="E89" t="s">
        <v>52</v>
      </c>
      <c r="F89">
        <v>2</v>
      </c>
      <c r="G89">
        <v>2</v>
      </c>
      <c r="H89" t="s">
        <v>16</v>
      </c>
      <c r="I89">
        <v>1</v>
      </c>
      <c r="J89" t="s">
        <v>48</v>
      </c>
      <c r="K89" t="s">
        <v>14</v>
      </c>
      <c r="L89" t="s">
        <v>16</v>
      </c>
    </row>
    <row r="90" spans="1:12" x14ac:dyDescent="0.3">
      <c r="A90">
        <v>2089</v>
      </c>
      <c r="B90">
        <v>36</v>
      </c>
      <c r="C90" t="s">
        <v>34</v>
      </c>
      <c r="D90" t="s">
        <v>15</v>
      </c>
      <c r="E90" t="s">
        <v>37</v>
      </c>
      <c r="F90">
        <v>12</v>
      </c>
      <c r="G90">
        <v>1</v>
      </c>
      <c r="H90" t="s">
        <v>16</v>
      </c>
      <c r="I90">
        <v>4</v>
      </c>
      <c r="J90" t="s">
        <v>48</v>
      </c>
      <c r="K90" t="s">
        <v>16</v>
      </c>
      <c r="L90" t="s">
        <v>16</v>
      </c>
    </row>
    <row r="91" spans="1:12" x14ac:dyDescent="0.3">
      <c r="A91">
        <v>2090</v>
      </c>
      <c r="B91">
        <v>68</v>
      </c>
      <c r="C91" t="s">
        <v>38</v>
      </c>
      <c r="D91" t="s">
        <v>17</v>
      </c>
      <c r="E91" t="s">
        <v>42</v>
      </c>
      <c r="F91">
        <v>12</v>
      </c>
      <c r="G91">
        <v>3</v>
      </c>
      <c r="H91" t="s">
        <v>14</v>
      </c>
      <c r="I91">
        <v>8</v>
      </c>
      <c r="J91" t="s">
        <v>33</v>
      </c>
      <c r="K91" t="s">
        <v>14</v>
      </c>
      <c r="L91" t="s">
        <v>14</v>
      </c>
    </row>
    <row r="92" spans="1:12" x14ac:dyDescent="0.3">
      <c r="A92">
        <v>2091</v>
      </c>
      <c r="B92">
        <v>41</v>
      </c>
      <c r="C92" t="s">
        <v>34</v>
      </c>
      <c r="D92" t="s">
        <v>17</v>
      </c>
      <c r="E92" t="s">
        <v>49</v>
      </c>
      <c r="F92">
        <v>12</v>
      </c>
      <c r="G92">
        <v>2</v>
      </c>
      <c r="H92" t="s">
        <v>14</v>
      </c>
      <c r="I92">
        <v>10</v>
      </c>
      <c r="J92" t="s">
        <v>48</v>
      </c>
      <c r="K92" t="s">
        <v>14</v>
      </c>
      <c r="L92" t="s">
        <v>16</v>
      </c>
    </row>
    <row r="93" spans="1:12" x14ac:dyDescent="0.3">
      <c r="A93">
        <v>2092</v>
      </c>
      <c r="B93">
        <v>70</v>
      </c>
      <c r="C93" t="s">
        <v>38</v>
      </c>
      <c r="D93" t="s">
        <v>13</v>
      </c>
      <c r="E93" t="s">
        <v>32</v>
      </c>
      <c r="F93">
        <v>2</v>
      </c>
      <c r="G93">
        <v>1</v>
      </c>
      <c r="H93" t="s">
        <v>16</v>
      </c>
      <c r="I93">
        <v>13</v>
      </c>
      <c r="J93" t="s">
        <v>48</v>
      </c>
      <c r="K93" t="s">
        <v>14</v>
      </c>
      <c r="L93" t="s">
        <v>16</v>
      </c>
    </row>
    <row r="94" spans="1:12" x14ac:dyDescent="0.3">
      <c r="A94">
        <v>2093</v>
      </c>
      <c r="B94">
        <v>39</v>
      </c>
      <c r="C94" t="s">
        <v>34</v>
      </c>
      <c r="D94" t="s">
        <v>19</v>
      </c>
      <c r="E94" t="s">
        <v>41</v>
      </c>
      <c r="F94">
        <v>9</v>
      </c>
      <c r="G94">
        <v>0</v>
      </c>
      <c r="H94" t="s">
        <v>14</v>
      </c>
      <c r="I94">
        <v>3</v>
      </c>
      <c r="J94" t="s">
        <v>33</v>
      </c>
      <c r="K94" t="s">
        <v>14</v>
      </c>
      <c r="L94" t="s">
        <v>16</v>
      </c>
    </row>
    <row r="95" spans="1:12" x14ac:dyDescent="0.3">
      <c r="A95">
        <v>2094</v>
      </c>
      <c r="B95">
        <v>29</v>
      </c>
      <c r="C95" t="s">
        <v>38</v>
      </c>
      <c r="D95" t="s">
        <v>15</v>
      </c>
      <c r="E95" t="s">
        <v>40</v>
      </c>
      <c r="F95">
        <v>6</v>
      </c>
      <c r="G95">
        <v>0</v>
      </c>
      <c r="H95" t="s">
        <v>16</v>
      </c>
      <c r="I95">
        <v>6</v>
      </c>
      <c r="J95" t="s">
        <v>44</v>
      </c>
      <c r="K95" t="s">
        <v>16</v>
      </c>
      <c r="L95" t="s">
        <v>16</v>
      </c>
    </row>
    <row r="96" spans="1:12" x14ac:dyDescent="0.3">
      <c r="A96">
        <v>2095</v>
      </c>
      <c r="B96">
        <v>25</v>
      </c>
      <c r="C96" t="s">
        <v>34</v>
      </c>
      <c r="D96" t="s">
        <v>17</v>
      </c>
      <c r="E96" t="s">
        <v>42</v>
      </c>
      <c r="F96">
        <v>6</v>
      </c>
      <c r="G96">
        <v>2</v>
      </c>
      <c r="H96" t="s">
        <v>14</v>
      </c>
      <c r="I96">
        <v>3</v>
      </c>
      <c r="J96" t="s">
        <v>44</v>
      </c>
      <c r="K96" t="s">
        <v>14</v>
      </c>
      <c r="L96" t="s">
        <v>16</v>
      </c>
    </row>
    <row r="97" spans="1:12" x14ac:dyDescent="0.3">
      <c r="A97">
        <v>2096</v>
      </c>
      <c r="B97">
        <v>61</v>
      </c>
      <c r="C97" t="s">
        <v>38</v>
      </c>
      <c r="D97" t="s">
        <v>15</v>
      </c>
      <c r="E97" t="s">
        <v>37</v>
      </c>
      <c r="F97">
        <v>13</v>
      </c>
      <c r="G97">
        <v>0</v>
      </c>
      <c r="H97" t="s">
        <v>16</v>
      </c>
      <c r="I97">
        <v>1</v>
      </c>
      <c r="J97" t="s">
        <v>36</v>
      </c>
      <c r="K97" t="s">
        <v>14</v>
      </c>
      <c r="L97" t="s">
        <v>16</v>
      </c>
    </row>
    <row r="98" spans="1:12" x14ac:dyDescent="0.3">
      <c r="A98">
        <v>2097</v>
      </c>
      <c r="B98">
        <v>36</v>
      </c>
      <c r="C98" t="s">
        <v>34</v>
      </c>
      <c r="D98" t="s">
        <v>13</v>
      </c>
      <c r="E98" t="s">
        <v>32</v>
      </c>
      <c r="F98">
        <v>5</v>
      </c>
      <c r="G98">
        <v>2</v>
      </c>
      <c r="H98" t="s">
        <v>16</v>
      </c>
      <c r="I98">
        <v>12</v>
      </c>
      <c r="J98" t="s">
        <v>33</v>
      </c>
      <c r="K98" t="s">
        <v>16</v>
      </c>
      <c r="L98" t="s">
        <v>16</v>
      </c>
    </row>
    <row r="99" spans="1:12" x14ac:dyDescent="0.3">
      <c r="A99">
        <v>2098</v>
      </c>
      <c r="B99">
        <v>53</v>
      </c>
      <c r="C99" t="s">
        <v>34</v>
      </c>
      <c r="D99" t="s">
        <v>13</v>
      </c>
      <c r="E99" t="s">
        <v>35</v>
      </c>
      <c r="F99">
        <v>1</v>
      </c>
      <c r="G99">
        <v>4</v>
      </c>
      <c r="H99" t="s">
        <v>16</v>
      </c>
      <c r="I99">
        <v>4</v>
      </c>
      <c r="J99" t="s">
        <v>33</v>
      </c>
      <c r="K99" t="s">
        <v>14</v>
      </c>
      <c r="L99" t="s">
        <v>16</v>
      </c>
    </row>
    <row r="100" spans="1:12" x14ac:dyDescent="0.3">
      <c r="A100">
        <v>2099</v>
      </c>
      <c r="B100">
        <v>52</v>
      </c>
      <c r="C100" t="s">
        <v>34</v>
      </c>
      <c r="D100" t="s">
        <v>19</v>
      </c>
      <c r="E100" t="s">
        <v>45</v>
      </c>
      <c r="F100">
        <v>11</v>
      </c>
      <c r="G100">
        <v>0</v>
      </c>
      <c r="H100" t="s">
        <v>16</v>
      </c>
      <c r="I100">
        <v>2</v>
      </c>
      <c r="J100" t="s">
        <v>33</v>
      </c>
      <c r="K100" t="s">
        <v>14</v>
      </c>
      <c r="L100" t="s">
        <v>16</v>
      </c>
    </row>
    <row r="101" spans="1:12" x14ac:dyDescent="0.3">
      <c r="A101">
        <v>2100</v>
      </c>
      <c r="B101">
        <v>85</v>
      </c>
      <c r="C101" t="s">
        <v>38</v>
      </c>
      <c r="D101" t="s">
        <v>17</v>
      </c>
      <c r="E101" t="s">
        <v>49</v>
      </c>
      <c r="F101">
        <v>10</v>
      </c>
      <c r="G101">
        <v>2</v>
      </c>
      <c r="H101" t="s">
        <v>14</v>
      </c>
      <c r="I101">
        <v>6</v>
      </c>
      <c r="J101" t="s">
        <v>33</v>
      </c>
      <c r="K101" t="s">
        <v>16</v>
      </c>
      <c r="L101" t="s">
        <v>14</v>
      </c>
    </row>
    <row r="102" spans="1:12" x14ac:dyDescent="0.3">
      <c r="A102">
        <v>2101</v>
      </c>
      <c r="B102">
        <v>81</v>
      </c>
      <c r="C102" t="s">
        <v>34</v>
      </c>
      <c r="D102" t="s">
        <v>15</v>
      </c>
      <c r="E102" t="s">
        <v>37</v>
      </c>
      <c r="F102">
        <v>5</v>
      </c>
      <c r="G102">
        <v>1</v>
      </c>
      <c r="H102" t="s">
        <v>16</v>
      </c>
      <c r="I102">
        <v>11</v>
      </c>
      <c r="J102" t="s">
        <v>44</v>
      </c>
      <c r="K102" t="s">
        <v>16</v>
      </c>
      <c r="L102" t="s">
        <v>16</v>
      </c>
    </row>
    <row r="103" spans="1:12" x14ac:dyDescent="0.3">
      <c r="A103">
        <v>2102</v>
      </c>
      <c r="B103">
        <v>21</v>
      </c>
      <c r="C103" t="s">
        <v>34</v>
      </c>
      <c r="D103" t="s">
        <v>15</v>
      </c>
      <c r="E103" t="s">
        <v>39</v>
      </c>
      <c r="F103">
        <v>2</v>
      </c>
      <c r="G103">
        <v>1</v>
      </c>
      <c r="H103" t="s">
        <v>16</v>
      </c>
      <c r="I103">
        <v>6</v>
      </c>
      <c r="J103" t="s">
        <v>33</v>
      </c>
      <c r="K103" t="s">
        <v>16</v>
      </c>
      <c r="L103" t="s">
        <v>16</v>
      </c>
    </row>
    <row r="104" spans="1:12" x14ac:dyDescent="0.3">
      <c r="A104">
        <v>2103</v>
      </c>
      <c r="B104">
        <v>46</v>
      </c>
      <c r="C104" t="s">
        <v>38</v>
      </c>
      <c r="D104" t="s">
        <v>18</v>
      </c>
      <c r="E104" t="s">
        <v>51</v>
      </c>
      <c r="F104">
        <v>3</v>
      </c>
      <c r="G104">
        <v>2</v>
      </c>
      <c r="H104" t="s">
        <v>14</v>
      </c>
      <c r="I104">
        <v>3</v>
      </c>
      <c r="J104" t="s">
        <v>44</v>
      </c>
      <c r="K104" t="s">
        <v>14</v>
      </c>
      <c r="L104" t="s">
        <v>16</v>
      </c>
    </row>
    <row r="105" spans="1:12" x14ac:dyDescent="0.3">
      <c r="A105">
        <v>2104</v>
      </c>
      <c r="B105">
        <v>66</v>
      </c>
      <c r="C105" t="s">
        <v>38</v>
      </c>
      <c r="D105" t="s">
        <v>19</v>
      </c>
      <c r="E105" t="s">
        <v>41</v>
      </c>
      <c r="F105">
        <v>6</v>
      </c>
      <c r="G105">
        <v>1</v>
      </c>
      <c r="H105" t="s">
        <v>16</v>
      </c>
      <c r="I105">
        <v>4</v>
      </c>
      <c r="J105" t="s">
        <v>33</v>
      </c>
      <c r="K105" t="s">
        <v>14</v>
      </c>
      <c r="L105" t="s">
        <v>16</v>
      </c>
    </row>
    <row r="106" spans="1:12" x14ac:dyDescent="0.3">
      <c r="A106">
        <v>2105</v>
      </c>
      <c r="B106">
        <v>26</v>
      </c>
      <c r="C106" t="s">
        <v>34</v>
      </c>
      <c r="D106" t="s">
        <v>15</v>
      </c>
      <c r="E106" t="s">
        <v>40</v>
      </c>
      <c r="F106">
        <v>5</v>
      </c>
      <c r="G106">
        <v>0</v>
      </c>
      <c r="H106" t="s">
        <v>14</v>
      </c>
      <c r="I106">
        <v>11</v>
      </c>
      <c r="J106" t="s">
        <v>44</v>
      </c>
      <c r="K106" t="s">
        <v>14</v>
      </c>
      <c r="L106" t="s">
        <v>16</v>
      </c>
    </row>
    <row r="107" spans="1:12" x14ac:dyDescent="0.3">
      <c r="A107">
        <v>2106</v>
      </c>
      <c r="B107">
        <v>21</v>
      </c>
      <c r="C107" t="s">
        <v>34</v>
      </c>
      <c r="D107" t="s">
        <v>17</v>
      </c>
      <c r="E107" t="s">
        <v>49</v>
      </c>
      <c r="F107">
        <v>8</v>
      </c>
      <c r="G107">
        <v>0</v>
      </c>
      <c r="H107" t="s">
        <v>14</v>
      </c>
      <c r="I107">
        <v>1</v>
      </c>
      <c r="J107" t="s">
        <v>44</v>
      </c>
      <c r="K107" t="s">
        <v>14</v>
      </c>
      <c r="L107" t="s">
        <v>16</v>
      </c>
    </row>
    <row r="108" spans="1:12" x14ac:dyDescent="0.3">
      <c r="A108">
        <v>2107</v>
      </c>
      <c r="B108">
        <v>23</v>
      </c>
      <c r="C108" t="s">
        <v>38</v>
      </c>
      <c r="D108" t="s">
        <v>18</v>
      </c>
      <c r="E108" t="s">
        <v>51</v>
      </c>
      <c r="F108">
        <v>1</v>
      </c>
      <c r="G108">
        <v>0</v>
      </c>
      <c r="H108" t="s">
        <v>14</v>
      </c>
      <c r="I108">
        <v>10</v>
      </c>
      <c r="J108" t="s">
        <v>33</v>
      </c>
      <c r="K108" t="s">
        <v>16</v>
      </c>
      <c r="L108" t="s">
        <v>16</v>
      </c>
    </row>
    <row r="109" spans="1:12" x14ac:dyDescent="0.3">
      <c r="A109">
        <v>2108</v>
      </c>
      <c r="B109">
        <v>28</v>
      </c>
      <c r="C109" t="s">
        <v>38</v>
      </c>
      <c r="D109" t="s">
        <v>17</v>
      </c>
      <c r="E109" t="s">
        <v>42</v>
      </c>
      <c r="F109">
        <v>14</v>
      </c>
      <c r="G109">
        <v>2</v>
      </c>
      <c r="H109" t="s">
        <v>16</v>
      </c>
      <c r="I109">
        <v>8</v>
      </c>
      <c r="J109" t="s">
        <v>48</v>
      </c>
      <c r="K109" t="s">
        <v>16</v>
      </c>
      <c r="L109" t="s">
        <v>16</v>
      </c>
    </row>
    <row r="110" spans="1:12" x14ac:dyDescent="0.3">
      <c r="A110">
        <v>2109</v>
      </c>
      <c r="B110">
        <v>86</v>
      </c>
      <c r="C110" t="s">
        <v>38</v>
      </c>
      <c r="D110" t="s">
        <v>19</v>
      </c>
      <c r="E110" t="s">
        <v>46</v>
      </c>
      <c r="F110">
        <v>8</v>
      </c>
      <c r="G110">
        <v>0</v>
      </c>
      <c r="H110" t="s">
        <v>16</v>
      </c>
      <c r="I110">
        <v>5</v>
      </c>
      <c r="J110" t="s">
        <v>33</v>
      </c>
      <c r="K110" t="s">
        <v>14</v>
      </c>
      <c r="L110" t="s">
        <v>16</v>
      </c>
    </row>
    <row r="111" spans="1:12" x14ac:dyDescent="0.3">
      <c r="A111">
        <v>2110</v>
      </c>
      <c r="B111">
        <v>77</v>
      </c>
      <c r="C111" t="s">
        <v>34</v>
      </c>
      <c r="D111" t="s">
        <v>19</v>
      </c>
      <c r="E111" t="s">
        <v>45</v>
      </c>
      <c r="F111">
        <v>9</v>
      </c>
      <c r="G111">
        <v>1</v>
      </c>
      <c r="H111" t="s">
        <v>14</v>
      </c>
      <c r="I111">
        <v>8</v>
      </c>
      <c r="J111" t="s">
        <v>33</v>
      </c>
      <c r="K111" t="s">
        <v>14</v>
      </c>
      <c r="L111" t="s">
        <v>14</v>
      </c>
    </row>
    <row r="112" spans="1:12" x14ac:dyDescent="0.3">
      <c r="A112">
        <v>2111</v>
      </c>
      <c r="B112">
        <v>65</v>
      </c>
      <c r="C112" t="s">
        <v>34</v>
      </c>
      <c r="D112" t="s">
        <v>18</v>
      </c>
      <c r="E112" t="s">
        <v>51</v>
      </c>
      <c r="F112">
        <v>8</v>
      </c>
      <c r="G112">
        <v>0</v>
      </c>
      <c r="H112" t="s">
        <v>16</v>
      </c>
      <c r="I112">
        <v>4</v>
      </c>
      <c r="J112" t="s">
        <v>33</v>
      </c>
      <c r="K112" t="s">
        <v>14</v>
      </c>
      <c r="L112" t="s">
        <v>16</v>
      </c>
    </row>
    <row r="113" spans="1:12" x14ac:dyDescent="0.3">
      <c r="A113">
        <v>2112</v>
      </c>
      <c r="B113">
        <v>88</v>
      </c>
      <c r="C113" t="s">
        <v>34</v>
      </c>
      <c r="D113" t="s">
        <v>19</v>
      </c>
      <c r="E113" t="s">
        <v>46</v>
      </c>
      <c r="F113">
        <v>4</v>
      </c>
      <c r="G113">
        <v>1</v>
      </c>
      <c r="H113" t="s">
        <v>16</v>
      </c>
      <c r="I113">
        <v>5</v>
      </c>
      <c r="J113" t="s">
        <v>44</v>
      </c>
      <c r="K113" t="s">
        <v>16</v>
      </c>
      <c r="L113" t="s">
        <v>16</v>
      </c>
    </row>
    <row r="114" spans="1:12" x14ac:dyDescent="0.3">
      <c r="A114">
        <v>2113</v>
      </c>
      <c r="B114">
        <v>36</v>
      </c>
      <c r="C114" t="s">
        <v>34</v>
      </c>
      <c r="D114" t="s">
        <v>18</v>
      </c>
      <c r="E114" t="s">
        <v>51</v>
      </c>
      <c r="F114">
        <v>7</v>
      </c>
      <c r="G114">
        <v>1</v>
      </c>
      <c r="H114" t="s">
        <v>14</v>
      </c>
      <c r="I114">
        <v>6</v>
      </c>
      <c r="J114" t="s">
        <v>44</v>
      </c>
      <c r="K114" t="s">
        <v>14</v>
      </c>
      <c r="L114" t="s">
        <v>16</v>
      </c>
    </row>
    <row r="115" spans="1:12" x14ac:dyDescent="0.3">
      <c r="A115">
        <v>2114</v>
      </c>
      <c r="B115">
        <v>69</v>
      </c>
      <c r="C115" t="s">
        <v>38</v>
      </c>
      <c r="D115" t="s">
        <v>13</v>
      </c>
      <c r="E115" t="s">
        <v>35</v>
      </c>
      <c r="F115">
        <v>8</v>
      </c>
      <c r="G115">
        <v>1</v>
      </c>
      <c r="H115" t="s">
        <v>16</v>
      </c>
      <c r="I115">
        <v>8</v>
      </c>
      <c r="J115" t="s">
        <v>33</v>
      </c>
      <c r="K115" t="s">
        <v>14</v>
      </c>
      <c r="L115" t="s">
        <v>16</v>
      </c>
    </row>
    <row r="116" spans="1:12" x14ac:dyDescent="0.3">
      <c r="A116">
        <v>2115</v>
      </c>
      <c r="B116">
        <v>48</v>
      </c>
      <c r="C116" t="s">
        <v>38</v>
      </c>
      <c r="D116" t="s">
        <v>18</v>
      </c>
      <c r="E116" t="s">
        <v>51</v>
      </c>
      <c r="F116">
        <v>1</v>
      </c>
      <c r="G116">
        <v>0</v>
      </c>
      <c r="H116" t="s">
        <v>16</v>
      </c>
      <c r="I116">
        <v>2</v>
      </c>
      <c r="J116" t="s">
        <v>33</v>
      </c>
      <c r="K116" t="s">
        <v>16</v>
      </c>
      <c r="L116" t="s">
        <v>16</v>
      </c>
    </row>
    <row r="117" spans="1:12" x14ac:dyDescent="0.3">
      <c r="A117">
        <v>2116</v>
      </c>
      <c r="B117">
        <v>84</v>
      </c>
      <c r="C117" t="s">
        <v>38</v>
      </c>
      <c r="D117" t="s">
        <v>13</v>
      </c>
      <c r="E117" t="s">
        <v>32</v>
      </c>
      <c r="F117">
        <v>3</v>
      </c>
      <c r="G117">
        <v>0</v>
      </c>
      <c r="H117" t="s">
        <v>14</v>
      </c>
      <c r="I117">
        <v>3</v>
      </c>
      <c r="J117" t="s">
        <v>36</v>
      </c>
      <c r="K117" t="s">
        <v>16</v>
      </c>
      <c r="L117" t="s">
        <v>14</v>
      </c>
    </row>
    <row r="118" spans="1:12" x14ac:dyDescent="0.3">
      <c r="A118">
        <v>2117</v>
      </c>
      <c r="B118">
        <v>49</v>
      </c>
      <c r="C118" t="s">
        <v>34</v>
      </c>
      <c r="D118" t="s">
        <v>13</v>
      </c>
      <c r="E118" t="s">
        <v>32</v>
      </c>
      <c r="F118">
        <v>4</v>
      </c>
      <c r="G118">
        <v>1</v>
      </c>
      <c r="H118" t="s">
        <v>16</v>
      </c>
      <c r="I118">
        <v>2</v>
      </c>
      <c r="J118" t="s">
        <v>33</v>
      </c>
      <c r="K118" t="s">
        <v>14</v>
      </c>
      <c r="L118" t="s">
        <v>16</v>
      </c>
    </row>
    <row r="119" spans="1:12" x14ac:dyDescent="0.3">
      <c r="A119">
        <v>2118</v>
      </c>
      <c r="B119">
        <v>72</v>
      </c>
      <c r="C119" t="s">
        <v>38</v>
      </c>
      <c r="D119" t="s">
        <v>18</v>
      </c>
      <c r="E119" t="s">
        <v>52</v>
      </c>
      <c r="F119">
        <v>9</v>
      </c>
      <c r="G119">
        <v>1</v>
      </c>
      <c r="H119" t="s">
        <v>16</v>
      </c>
      <c r="I119">
        <v>11</v>
      </c>
      <c r="J119" t="s">
        <v>33</v>
      </c>
      <c r="K119" t="s">
        <v>16</v>
      </c>
      <c r="L119" t="s">
        <v>16</v>
      </c>
    </row>
    <row r="120" spans="1:12" x14ac:dyDescent="0.3">
      <c r="A120">
        <v>2119</v>
      </c>
      <c r="B120">
        <v>52</v>
      </c>
      <c r="C120" t="s">
        <v>38</v>
      </c>
      <c r="D120" t="s">
        <v>13</v>
      </c>
      <c r="E120" t="s">
        <v>35</v>
      </c>
      <c r="F120">
        <v>4</v>
      </c>
      <c r="G120">
        <v>2</v>
      </c>
      <c r="H120" t="s">
        <v>16</v>
      </c>
      <c r="I120">
        <v>14</v>
      </c>
      <c r="J120" t="s">
        <v>44</v>
      </c>
      <c r="K120" t="s">
        <v>16</v>
      </c>
      <c r="L120" t="s">
        <v>14</v>
      </c>
    </row>
    <row r="121" spans="1:12" x14ac:dyDescent="0.3">
      <c r="A121">
        <v>2120</v>
      </c>
      <c r="B121">
        <v>52</v>
      </c>
      <c r="C121" t="s">
        <v>34</v>
      </c>
      <c r="D121" t="s">
        <v>19</v>
      </c>
      <c r="E121" t="s">
        <v>45</v>
      </c>
      <c r="F121">
        <v>12</v>
      </c>
      <c r="G121">
        <v>4</v>
      </c>
      <c r="H121" t="s">
        <v>16</v>
      </c>
      <c r="I121">
        <v>3</v>
      </c>
      <c r="J121" t="s">
        <v>33</v>
      </c>
      <c r="K121" t="s">
        <v>14</v>
      </c>
      <c r="L121" t="s">
        <v>16</v>
      </c>
    </row>
    <row r="122" spans="1:12" x14ac:dyDescent="0.3">
      <c r="A122">
        <v>2121</v>
      </c>
      <c r="B122">
        <v>38</v>
      </c>
      <c r="C122" t="s">
        <v>38</v>
      </c>
      <c r="D122" t="s">
        <v>17</v>
      </c>
      <c r="E122" t="s">
        <v>49</v>
      </c>
      <c r="F122">
        <v>7</v>
      </c>
      <c r="G122">
        <v>1</v>
      </c>
      <c r="H122" t="s">
        <v>16</v>
      </c>
      <c r="I122">
        <v>4</v>
      </c>
      <c r="J122" t="s">
        <v>48</v>
      </c>
      <c r="K122" t="s">
        <v>14</v>
      </c>
      <c r="L122" t="s">
        <v>16</v>
      </c>
    </row>
    <row r="123" spans="1:12" x14ac:dyDescent="0.3">
      <c r="A123">
        <v>2122</v>
      </c>
      <c r="B123">
        <v>45</v>
      </c>
      <c r="C123" t="s">
        <v>34</v>
      </c>
      <c r="D123" t="s">
        <v>13</v>
      </c>
      <c r="E123" t="s">
        <v>35</v>
      </c>
      <c r="F123">
        <v>3</v>
      </c>
      <c r="G123">
        <v>1</v>
      </c>
      <c r="H123" t="s">
        <v>14</v>
      </c>
      <c r="I123">
        <v>6</v>
      </c>
      <c r="J123" t="s">
        <v>44</v>
      </c>
      <c r="K123" t="s">
        <v>16</v>
      </c>
      <c r="L123" t="s">
        <v>14</v>
      </c>
    </row>
    <row r="124" spans="1:12" x14ac:dyDescent="0.3">
      <c r="A124">
        <v>2123</v>
      </c>
      <c r="B124">
        <v>77</v>
      </c>
      <c r="C124" t="s">
        <v>38</v>
      </c>
      <c r="D124" t="s">
        <v>15</v>
      </c>
      <c r="E124" t="s">
        <v>39</v>
      </c>
      <c r="F124">
        <v>13</v>
      </c>
      <c r="G124">
        <v>2</v>
      </c>
      <c r="H124" t="s">
        <v>14</v>
      </c>
      <c r="I124">
        <v>7</v>
      </c>
      <c r="J124" t="s">
        <v>36</v>
      </c>
      <c r="K124" t="s">
        <v>14</v>
      </c>
      <c r="L124" t="s">
        <v>14</v>
      </c>
    </row>
    <row r="125" spans="1:12" x14ac:dyDescent="0.3">
      <c r="A125">
        <v>2124</v>
      </c>
      <c r="B125">
        <v>29</v>
      </c>
      <c r="C125" t="s">
        <v>34</v>
      </c>
      <c r="D125" t="s">
        <v>13</v>
      </c>
      <c r="E125" t="s">
        <v>43</v>
      </c>
      <c r="F125">
        <v>7</v>
      </c>
      <c r="G125">
        <v>2</v>
      </c>
      <c r="H125" t="s">
        <v>16</v>
      </c>
      <c r="I125">
        <v>9</v>
      </c>
      <c r="J125" t="s">
        <v>48</v>
      </c>
      <c r="K125" t="s">
        <v>14</v>
      </c>
      <c r="L125" t="s">
        <v>16</v>
      </c>
    </row>
    <row r="126" spans="1:12" x14ac:dyDescent="0.3">
      <c r="A126">
        <v>2125</v>
      </c>
      <c r="B126">
        <v>54</v>
      </c>
      <c r="C126" t="s">
        <v>34</v>
      </c>
      <c r="D126" t="s">
        <v>18</v>
      </c>
      <c r="E126" t="s">
        <v>52</v>
      </c>
      <c r="F126">
        <v>10</v>
      </c>
      <c r="G126">
        <v>2</v>
      </c>
      <c r="H126" t="s">
        <v>14</v>
      </c>
      <c r="I126">
        <v>4</v>
      </c>
      <c r="J126" t="s">
        <v>33</v>
      </c>
      <c r="K126" t="s">
        <v>16</v>
      </c>
      <c r="L126" t="s">
        <v>14</v>
      </c>
    </row>
    <row r="127" spans="1:12" x14ac:dyDescent="0.3">
      <c r="A127">
        <v>2126</v>
      </c>
      <c r="B127">
        <v>26</v>
      </c>
      <c r="C127" t="s">
        <v>34</v>
      </c>
      <c r="D127" t="s">
        <v>19</v>
      </c>
      <c r="E127" t="s">
        <v>45</v>
      </c>
      <c r="F127">
        <v>10</v>
      </c>
      <c r="G127">
        <v>0</v>
      </c>
      <c r="H127" t="s">
        <v>14</v>
      </c>
      <c r="I127">
        <v>7</v>
      </c>
      <c r="J127" t="s">
        <v>33</v>
      </c>
      <c r="K127" t="s">
        <v>16</v>
      </c>
      <c r="L127" t="s">
        <v>16</v>
      </c>
    </row>
    <row r="128" spans="1:12" x14ac:dyDescent="0.3">
      <c r="A128">
        <v>2127</v>
      </c>
      <c r="B128">
        <v>48</v>
      </c>
      <c r="C128" t="s">
        <v>38</v>
      </c>
      <c r="D128" t="s">
        <v>13</v>
      </c>
      <c r="E128" t="s">
        <v>43</v>
      </c>
      <c r="F128">
        <v>1</v>
      </c>
      <c r="G128">
        <v>1</v>
      </c>
      <c r="H128" t="s">
        <v>16</v>
      </c>
      <c r="I128">
        <v>10</v>
      </c>
      <c r="J128" t="s">
        <v>33</v>
      </c>
      <c r="K128" t="s">
        <v>14</v>
      </c>
      <c r="L128" t="s">
        <v>16</v>
      </c>
    </row>
    <row r="129" spans="1:12" x14ac:dyDescent="0.3">
      <c r="A129">
        <v>2128</v>
      </c>
      <c r="B129">
        <v>49</v>
      </c>
      <c r="C129" t="s">
        <v>38</v>
      </c>
      <c r="D129" t="s">
        <v>13</v>
      </c>
      <c r="E129" t="s">
        <v>43</v>
      </c>
      <c r="F129">
        <v>12</v>
      </c>
      <c r="G129">
        <v>0</v>
      </c>
      <c r="H129" t="s">
        <v>16</v>
      </c>
      <c r="I129">
        <v>7</v>
      </c>
      <c r="J129" t="s">
        <v>44</v>
      </c>
      <c r="K129" t="s">
        <v>14</v>
      </c>
      <c r="L129" t="s">
        <v>16</v>
      </c>
    </row>
    <row r="130" spans="1:12" x14ac:dyDescent="0.3">
      <c r="A130">
        <v>2129</v>
      </c>
      <c r="B130">
        <v>52</v>
      </c>
      <c r="C130" t="s">
        <v>38</v>
      </c>
      <c r="D130" t="s">
        <v>13</v>
      </c>
      <c r="E130" t="s">
        <v>35</v>
      </c>
      <c r="F130">
        <v>14</v>
      </c>
      <c r="G130">
        <v>3</v>
      </c>
      <c r="H130" t="s">
        <v>16</v>
      </c>
      <c r="I130">
        <v>1</v>
      </c>
      <c r="J130" t="s">
        <v>33</v>
      </c>
      <c r="K130" t="s">
        <v>14</v>
      </c>
      <c r="L130" t="s">
        <v>16</v>
      </c>
    </row>
    <row r="131" spans="1:12" x14ac:dyDescent="0.3">
      <c r="A131">
        <v>2130</v>
      </c>
      <c r="B131">
        <v>30</v>
      </c>
      <c r="C131" t="s">
        <v>34</v>
      </c>
      <c r="D131" t="s">
        <v>15</v>
      </c>
      <c r="E131" t="s">
        <v>39</v>
      </c>
      <c r="F131">
        <v>12</v>
      </c>
      <c r="G131">
        <v>1</v>
      </c>
      <c r="H131" t="s">
        <v>16</v>
      </c>
      <c r="I131">
        <v>10</v>
      </c>
      <c r="J131" t="s">
        <v>33</v>
      </c>
      <c r="K131" t="s">
        <v>14</v>
      </c>
      <c r="L131" t="s">
        <v>16</v>
      </c>
    </row>
    <row r="132" spans="1:12" x14ac:dyDescent="0.3">
      <c r="A132">
        <v>2131</v>
      </c>
      <c r="B132">
        <v>83</v>
      </c>
      <c r="C132" t="s">
        <v>38</v>
      </c>
      <c r="D132" t="s">
        <v>15</v>
      </c>
      <c r="E132" t="s">
        <v>37</v>
      </c>
      <c r="F132">
        <v>6</v>
      </c>
      <c r="G132">
        <v>1</v>
      </c>
      <c r="H132" t="s">
        <v>16</v>
      </c>
      <c r="I132">
        <v>6</v>
      </c>
      <c r="J132" t="s">
        <v>33</v>
      </c>
      <c r="K132" t="s">
        <v>14</v>
      </c>
      <c r="L132" t="s">
        <v>16</v>
      </c>
    </row>
    <row r="133" spans="1:12" x14ac:dyDescent="0.3">
      <c r="A133">
        <v>2132</v>
      </c>
      <c r="B133">
        <v>20</v>
      </c>
      <c r="C133" t="s">
        <v>34</v>
      </c>
      <c r="D133" t="s">
        <v>13</v>
      </c>
      <c r="E133" t="s">
        <v>43</v>
      </c>
      <c r="F133">
        <v>4</v>
      </c>
      <c r="G133">
        <v>4</v>
      </c>
      <c r="H133" t="s">
        <v>16</v>
      </c>
      <c r="I133">
        <v>13</v>
      </c>
      <c r="J133" t="s">
        <v>33</v>
      </c>
      <c r="K133" t="s">
        <v>14</v>
      </c>
      <c r="L133" t="s">
        <v>16</v>
      </c>
    </row>
    <row r="134" spans="1:12" x14ac:dyDescent="0.3">
      <c r="A134">
        <v>2133</v>
      </c>
      <c r="B134">
        <v>43</v>
      </c>
      <c r="C134" t="s">
        <v>38</v>
      </c>
      <c r="D134" t="s">
        <v>18</v>
      </c>
      <c r="E134" t="s">
        <v>50</v>
      </c>
      <c r="F134">
        <v>6</v>
      </c>
      <c r="G134">
        <v>2</v>
      </c>
      <c r="H134" t="s">
        <v>14</v>
      </c>
      <c r="I134">
        <v>11</v>
      </c>
      <c r="J134" t="s">
        <v>33</v>
      </c>
      <c r="K134" t="s">
        <v>14</v>
      </c>
      <c r="L134" t="s">
        <v>14</v>
      </c>
    </row>
    <row r="135" spans="1:12" x14ac:dyDescent="0.3">
      <c r="A135">
        <v>2134</v>
      </c>
      <c r="B135">
        <v>59</v>
      </c>
      <c r="C135" t="s">
        <v>34</v>
      </c>
      <c r="D135" t="s">
        <v>19</v>
      </c>
      <c r="E135" t="s">
        <v>45</v>
      </c>
      <c r="F135">
        <v>4</v>
      </c>
      <c r="G135">
        <v>1</v>
      </c>
      <c r="H135" t="s">
        <v>16</v>
      </c>
      <c r="I135">
        <v>7</v>
      </c>
      <c r="J135" t="s">
        <v>44</v>
      </c>
      <c r="K135" t="s">
        <v>14</v>
      </c>
      <c r="L135" t="s">
        <v>16</v>
      </c>
    </row>
    <row r="136" spans="1:12" x14ac:dyDescent="0.3">
      <c r="A136">
        <v>2135</v>
      </c>
      <c r="B136">
        <v>21</v>
      </c>
      <c r="C136" t="s">
        <v>38</v>
      </c>
      <c r="D136" t="s">
        <v>18</v>
      </c>
      <c r="E136" t="s">
        <v>51</v>
      </c>
      <c r="F136">
        <v>9</v>
      </c>
      <c r="G136">
        <v>1</v>
      </c>
      <c r="H136" t="s">
        <v>14</v>
      </c>
      <c r="I136">
        <v>7</v>
      </c>
      <c r="J136" t="s">
        <v>44</v>
      </c>
      <c r="K136" t="s">
        <v>14</v>
      </c>
      <c r="L136" t="s">
        <v>16</v>
      </c>
    </row>
    <row r="137" spans="1:12" x14ac:dyDescent="0.3">
      <c r="A137">
        <v>2136</v>
      </c>
      <c r="B137">
        <v>52</v>
      </c>
      <c r="C137" t="s">
        <v>34</v>
      </c>
      <c r="D137" t="s">
        <v>15</v>
      </c>
      <c r="E137" t="s">
        <v>40</v>
      </c>
      <c r="F137">
        <v>4</v>
      </c>
      <c r="G137">
        <v>1</v>
      </c>
      <c r="H137" t="s">
        <v>14</v>
      </c>
      <c r="I137">
        <v>1</v>
      </c>
      <c r="J137" t="s">
        <v>33</v>
      </c>
      <c r="K137" t="s">
        <v>14</v>
      </c>
      <c r="L137" t="s">
        <v>16</v>
      </c>
    </row>
    <row r="138" spans="1:12" x14ac:dyDescent="0.3">
      <c r="A138">
        <v>2137</v>
      </c>
      <c r="B138">
        <v>60</v>
      </c>
      <c r="C138" t="s">
        <v>38</v>
      </c>
      <c r="D138" t="s">
        <v>13</v>
      </c>
      <c r="E138" t="s">
        <v>32</v>
      </c>
      <c r="F138">
        <v>12</v>
      </c>
      <c r="G138">
        <v>4</v>
      </c>
      <c r="H138" t="s">
        <v>16</v>
      </c>
      <c r="I138">
        <v>10</v>
      </c>
      <c r="J138" t="s">
        <v>36</v>
      </c>
      <c r="K138" t="s">
        <v>14</v>
      </c>
      <c r="L138" t="s">
        <v>16</v>
      </c>
    </row>
    <row r="139" spans="1:12" x14ac:dyDescent="0.3">
      <c r="A139">
        <v>2138</v>
      </c>
      <c r="B139">
        <v>18</v>
      </c>
      <c r="C139" t="s">
        <v>34</v>
      </c>
      <c r="D139" t="s">
        <v>13</v>
      </c>
      <c r="E139" t="s">
        <v>32</v>
      </c>
      <c r="F139">
        <v>10</v>
      </c>
      <c r="G139">
        <v>0</v>
      </c>
      <c r="H139" t="s">
        <v>16</v>
      </c>
      <c r="I139">
        <v>6</v>
      </c>
      <c r="J139" t="s">
        <v>33</v>
      </c>
      <c r="K139" t="s">
        <v>14</v>
      </c>
      <c r="L139" t="s">
        <v>16</v>
      </c>
    </row>
    <row r="140" spans="1:12" x14ac:dyDescent="0.3">
      <c r="A140">
        <v>2139</v>
      </c>
      <c r="B140">
        <v>35</v>
      </c>
      <c r="C140" t="s">
        <v>34</v>
      </c>
      <c r="D140" t="s">
        <v>17</v>
      </c>
      <c r="E140" t="s">
        <v>49</v>
      </c>
      <c r="F140">
        <v>8</v>
      </c>
      <c r="G140">
        <v>1</v>
      </c>
      <c r="H140" t="s">
        <v>16</v>
      </c>
      <c r="I140">
        <v>2</v>
      </c>
      <c r="J140" t="s">
        <v>36</v>
      </c>
      <c r="K140" t="s">
        <v>14</v>
      </c>
      <c r="L140" t="s">
        <v>16</v>
      </c>
    </row>
    <row r="141" spans="1:12" x14ac:dyDescent="0.3">
      <c r="A141">
        <v>2140</v>
      </c>
      <c r="B141">
        <v>21</v>
      </c>
      <c r="C141" t="s">
        <v>38</v>
      </c>
      <c r="D141" t="s">
        <v>19</v>
      </c>
      <c r="E141" t="s">
        <v>46</v>
      </c>
      <c r="F141">
        <v>3</v>
      </c>
      <c r="G141">
        <v>0</v>
      </c>
      <c r="H141" t="s">
        <v>16</v>
      </c>
      <c r="I141">
        <v>11</v>
      </c>
      <c r="J141" t="s">
        <v>33</v>
      </c>
      <c r="K141" t="s">
        <v>16</v>
      </c>
      <c r="L141" t="s">
        <v>16</v>
      </c>
    </row>
    <row r="142" spans="1:12" x14ac:dyDescent="0.3">
      <c r="A142">
        <v>2141</v>
      </c>
      <c r="B142">
        <v>32</v>
      </c>
      <c r="C142" t="s">
        <v>38</v>
      </c>
      <c r="D142" t="s">
        <v>19</v>
      </c>
      <c r="E142" t="s">
        <v>41</v>
      </c>
      <c r="F142">
        <v>12</v>
      </c>
      <c r="G142">
        <v>1</v>
      </c>
      <c r="H142" t="s">
        <v>16</v>
      </c>
      <c r="I142">
        <v>3</v>
      </c>
      <c r="J142" t="s">
        <v>48</v>
      </c>
      <c r="K142" t="s">
        <v>14</v>
      </c>
      <c r="L142" t="s">
        <v>16</v>
      </c>
    </row>
    <row r="143" spans="1:12" x14ac:dyDescent="0.3">
      <c r="A143">
        <v>2142</v>
      </c>
      <c r="B143">
        <v>23</v>
      </c>
      <c r="C143" t="s">
        <v>38</v>
      </c>
      <c r="D143" t="s">
        <v>15</v>
      </c>
      <c r="E143" t="s">
        <v>39</v>
      </c>
      <c r="F143">
        <v>3</v>
      </c>
      <c r="G143">
        <v>0</v>
      </c>
      <c r="H143" t="s">
        <v>14</v>
      </c>
      <c r="I143">
        <v>12</v>
      </c>
      <c r="J143" t="s">
        <v>48</v>
      </c>
      <c r="K143" t="s">
        <v>14</v>
      </c>
      <c r="L143" t="s">
        <v>16</v>
      </c>
    </row>
    <row r="144" spans="1:12" x14ac:dyDescent="0.3">
      <c r="A144">
        <v>2143</v>
      </c>
      <c r="B144">
        <v>27</v>
      </c>
      <c r="C144" t="s">
        <v>34</v>
      </c>
      <c r="D144" t="s">
        <v>17</v>
      </c>
      <c r="E144" t="s">
        <v>53</v>
      </c>
      <c r="F144">
        <v>8</v>
      </c>
      <c r="G144">
        <v>1</v>
      </c>
      <c r="H144" t="s">
        <v>16</v>
      </c>
      <c r="I144">
        <v>6</v>
      </c>
      <c r="J144" t="s">
        <v>48</v>
      </c>
      <c r="K144" t="s">
        <v>14</v>
      </c>
      <c r="L144" t="s">
        <v>16</v>
      </c>
    </row>
    <row r="145" spans="1:12" x14ac:dyDescent="0.3">
      <c r="A145">
        <v>2144</v>
      </c>
      <c r="B145">
        <v>21</v>
      </c>
      <c r="C145" t="s">
        <v>34</v>
      </c>
      <c r="D145" t="s">
        <v>15</v>
      </c>
      <c r="E145" t="s">
        <v>40</v>
      </c>
      <c r="F145">
        <v>7</v>
      </c>
      <c r="G145">
        <v>1</v>
      </c>
      <c r="H145" t="s">
        <v>16</v>
      </c>
      <c r="I145">
        <v>3</v>
      </c>
      <c r="J145" t="s">
        <v>48</v>
      </c>
      <c r="K145" t="s">
        <v>14</v>
      </c>
      <c r="L145" t="s">
        <v>16</v>
      </c>
    </row>
    <row r="146" spans="1:12" x14ac:dyDescent="0.3">
      <c r="A146">
        <v>2145</v>
      </c>
      <c r="B146">
        <v>29</v>
      </c>
      <c r="C146" t="s">
        <v>38</v>
      </c>
      <c r="D146" t="s">
        <v>15</v>
      </c>
      <c r="E146" t="s">
        <v>40</v>
      </c>
      <c r="F146">
        <v>12</v>
      </c>
      <c r="G146">
        <v>1</v>
      </c>
      <c r="H146" t="s">
        <v>14</v>
      </c>
      <c r="I146">
        <v>12</v>
      </c>
      <c r="J146" t="s">
        <v>44</v>
      </c>
      <c r="K146" t="s">
        <v>14</v>
      </c>
      <c r="L146" t="s">
        <v>14</v>
      </c>
    </row>
    <row r="147" spans="1:12" x14ac:dyDescent="0.3">
      <c r="A147">
        <v>2146</v>
      </c>
      <c r="B147">
        <v>63</v>
      </c>
      <c r="C147" t="s">
        <v>38</v>
      </c>
      <c r="D147" t="s">
        <v>18</v>
      </c>
      <c r="E147" t="s">
        <v>50</v>
      </c>
      <c r="F147">
        <v>14</v>
      </c>
      <c r="G147">
        <v>4</v>
      </c>
      <c r="H147" t="s">
        <v>16</v>
      </c>
      <c r="I147">
        <v>12</v>
      </c>
      <c r="J147" t="s">
        <v>33</v>
      </c>
      <c r="K147" t="s">
        <v>14</v>
      </c>
      <c r="L147" t="s">
        <v>16</v>
      </c>
    </row>
    <row r="148" spans="1:12" x14ac:dyDescent="0.3">
      <c r="A148">
        <v>2147</v>
      </c>
      <c r="B148">
        <v>53</v>
      </c>
      <c r="C148" t="s">
        <v>38</v>
      </c>
      <c r="D148" t="s">
        <v>19</v>
      </c>
      <c r="E148" t="s">
        <v>45</v>
      </c>
      <c r="F148">
        <v>9</v>
      </c>
      <c r="G148">
        <v>1</v>
      </c>
      <c r="H148" t="s">
        <v>16</v>
      </c>
      <c r="I148">
        <v>7</v>
      </c>
      <c r="J148" t="s">
        <v>33</v>
      </c>
      <c r="K148" t="s">
        <v>14</v>
      </c>
      <c r="L148" t="s">
        <v>16</v>
      </c>
    </row>
    <row r="149" spans="1:12" x14ac:dyDescent="0.3">
      <c r="A149">
        <v>2148</v>
      </c>
      <c r="B149">
        <v>28</v>
      </c>
      <c r="C149" t="s">
        <v>38</v>
      </c>
      <c r="D149" t="s">
        <v>15</v>
      </c>
      <c r="E149" t="s">
        <v>40</v>
      </c>
      <c r="F149">
        <v>8</v>
      </c>
      <c r="G149">
        <v>1</v>
      </c>
      <c r="H149" t="s">
        <v>16</v>
      </c>
      <c r="I149">
        <v>2</v>
      </c>
      <c r="J149" t="s">
        <v>44</v>
      </c>
      <c r="K149" t="s">
        <v>14</v>
      </c>
      <c r="L149" t="s">
        <v>16</v>
      </c>
    </row>
    <row r="150" spans="1:12" x14ac:dyDescent="0.3">
      <c r="A150">
        <v>2149</v>
      </c>
      <c r="B150">
        <v>49</v>
      </c>
      <c r="C150" t="s">
        <v>34</v>
      </c>
      <c r="D150" t="s">
        <v>19</v>
      </c>
      <c r="E150" t="s">
        <v>41</v>
      </c>
      <c r="F150">
        <v>3</v>
      </c>
      <c r="G150">
        <v>1</v>
      </c>
      <c r="H150" t="s">
        <v>16</v>
      </c>
      <c r="I150">
        <v>3</v>
      </c>
      <c r="J150" t="s">
        <v>33</v>
      </c>
      <c r="K150" t="s">
        <v>14</v>
      </c>
      <c r="L150" t="s">
        <v>16</v>
      </c>
    </row>
    <row r="151" spans="1:12" x14ac:dyDescent="0.3">
      <c r="A151">
        <v>2150</v>
      </c>
      <c r="B151">
        <v>19</v>
      </c>
      <c r="C151" t="s">
        <v>38</v>
      </c>
      <c r="D151" t="s">
        <v>13</v>
      </c>
      <c r="E151" t="s">
        <v>32</v>
      </c>
      <c r="F151">
        <v>12</v>
      </c>
      <c r="G151">
        <v>1</v>
      </c>
      <c r="H151" t="s">
        <v>16</v>
      </c>
      <c r="I151">
        <v>10</v>
      </c>
      <c r="J151" t="s">
        <v>36</v>
      </c>
      <c r="K151" t="s">
        <v>14</v>
      </c>
      <c r="L151" t="s">
        <v>16</v>
      </c>
    </row>
    <row r="152" spans="1:12" x14ac:dyDescent="0.3">
      <c r="A152">
        <v>2151</v>
      </c>
      <c r="B152">
        <v>61</v>
      </c>
      <c r="C152" t="s">
        <v>34</v>
      </c>
      <c r="D152" t="s">
        <v>15</v>
      </c>
      <c r="E152" t="s">
        <v>39</v>
      </c>
      <c r="F152">
        <v>11</v>
      </c>
      <c r="G152">
        <v>1</v>
      </c>
      <c r="H152" t="s">
        <v>16</v>
      </c>
      <c r="I152">
        <v>3</v>
      </c>
      <c r="J152" t="s">
        <v>33</v>
      </c>
      <c r="K152" t="s">
        <v>14</v>
      </c>
      <c r="L152" t="s">
        <v>16</v>
      </c>
    </row>
    <row r="153" spans="1:12" x14ac:dyDescent="0.3">
      <c r="A153">
        <v>2152</v>
      </c>
      <c r="B153">
        <v>48</v>
      </c>
      <c r="C153" t="s">
        <v>34</v>
      </c>
      <c r="D153" t="s">
        <v>13</v>
      </c>
      <c r="E153" t="s">
        <v>32</v>
      </c>
      <c r="F153">
        <v>2</v>
      </c>
      <c r="G153">
        <v>0</v>
      </c>
      <c r="H153" t="s">
        <v>16</v>
      </c>
      <c r="I153">
        <v>7</v>
      </c>
      <c r="J153" t="s">
        <v>48</v>
      </c>
      <c r="K153" t="s">
        <v>14</v>
      </c>
      <c r="L153" t="s">
        <v>16</v>
      </c>
    </row>
    <row r="154" spans="1:12" x14ac:dyDescent="0.3">
      <c r="A154">
        <v>2153</v>
      </c>
      <c r="B154">
        <v>82</v>
      </c>
      <c r="C154" t="s">
        <v>38</v>
      </c>
      <c r="D154" t="s">
        <v>17</v>
      </c>
      <c r="E154" t="s">
        <v>42</v>
      </c>
      <c r="F154">
        <v>11</v>
      </c>
      <c r="G154">
        <v>1</v>
      </c>
      <c r="H154" t="s">
        <v>14</v>
      </c>
      <c r="I154">
        <v>9</v>
      </c>
      <c r="J154" t="s">
        <v>33</v>
      </c>
      <c r="K154" t="s">
        <v>16</v>
      </c>
      <c r="L154" t="s">
        <v>14</v>
      </c>
    </row>
    <row r="155" spans="1:12" x14ac:dyDescent="0.3">
      <c r="A155">
        <v>2154</v>
      </c>
      <c r="B155">
        <v>84</v>
      </c>
      <c r="C155" t="s">
        <v>38</v>
      </c>
      <c r="D155" t="s">
        <v>17</v>
      </c>
      <c r="E155" t="s">
        <v>42</v>
      </c>
      <c r="F155">
        <v>13</v>
      </c>
      <c r="G155">
        <v>0</v>
      </c>
      <c r="H155" t="s">
        <v>14</v>
      </c>
      <c r="I155">
        <v>3</v>
      </c>
      <c r="J155" t="s">
        <v>36</v>
      </c>
      <c r="K155" t="s">
        <v>14</v>
      </c>
      <c r="L155" t="s">
        <v>16</v>
      </c>
    </row>
    <row r="156" spans="1:12" x14ac:dyDescent="0.3">
      <c r="A156">
        <v>2155</v>
      </c>
      <c r="B156">
        <v>69</v>
      </c>
      <c r="C156" t="s">
        <v>38</v>
      </c>
      <c r="D156" t="s">
        <v>15</v>
      </c>
      <c r="E156" t="s">
        <v>39</v>
      </c>
      <c r="F156">
        <v>8</v>
      </c>
      <c r="G156">
        <v>1</v>
      </c>
      <c r="H156" t="s">
        <v>16</v>
      </c>
      <c r="I156">
        <v>2</v>
      </c>
      <c r="J156" t="s">
        <v>33</v>
      </c>
      <c r="K156" t="s">
        <v>14</v>
      </c>
      <c r="L156" t="s">
        <v>16</v>
      </c>
    </row>
    <row r="157" spans="1:12" x14ac:dyDescent="0.3">
      <c r="A157">
        <v>2156</v>
      </c>
      <c r="B157">
        <v>89</v>
      </c>
      <c r="C157" t="s">
        <v>31</v>
      </c>
      <c r="D157" t="s">
        <v>18</v>
      </c>
      <c r="E157" t="s">
        <v>51</v>
      </c>
      <c r="F157">
        <v>2</v>
      </c>
      <c r="G157">
        <v>1</v>
      </c>
      <c r="H157" t="s">
        <v>14</v>
      </c>
      <c r="I157">
        <v>10</v>
      </c>
      <c r="J157" t="s">
        <v>33</v>
      </c>
      <c r="K157" t="s">
        <v>14</v>
      </c>
      <c r="L157" t="s">
        <v>16</v>
      </c>
    </row>
    <row r="158" spans="1:12" x14ac:dyDescent="0.3">
      <c r="A158">
        <v>2157</v>
      </c>
      <c r="B158">
        <v>41</v>
      </c>
      <c r="C158" t="s">
        <v>34</v>
      </c>
      <c r="D158" t="s">
        <v>17</v>
      </c>
      <c r="E158" t="s">
        <v>49</v>
      </c>
      <c r="F158">
        <v>14</v>
      </c>
      <c r="G158">
        <v>0</v>
      </c>
      <c r="H158" t="s">
        <v>14</v>
      </c>
      <c r="I158">
        <v>7</v>
      </c>
      <c r="J158" t="s">
        <v>48</v>
      </c>
      <c r="K158" t="s">
        <v>14</v>
      </c>
      <c r="L158" t="s">
        <v>16</v>
      </c>
    </row>
    <row r="159" spans="1:12" x14ac:dyDescent="0.3">
      <c r="A159">
        <v>2158</v>
      </c>
      <c r="B159">
        <v>68</v>
      </c>
      <c r="C159" t="s">
        <v>34</v>
      </c>
      <c r="D159" t="s">
        <v>19</v>
      </c>
      <c r="E159" t="s">
        <v>41</v>
      </c>
      <c r="F159">
        <v>10</v>
      </c>
      <c r="G159">
        <v>0</v>
      </c>
      <c r="H159" t="s">
        <v>16</v>
      </c>
      <c r="I159">
        <v>5</v>
      </c>
      <c r="J159" t="s">
        <v>36</v>
      </c>
      <c r="K159" t="s">
        <v>16</v>
      </c>
      <c r="L159" t="s">
        <v>16</v>
      </c>
    </row>
    <row r="160" spans="1:12" x14ac:dyDescent="0.3">
      <c r="A160">
        <v>2159</v>
      </c>
      <c r="B160">
        <v>66</v>
      </c>
      <c r="C160" t="s">
        <v>38</v>
      </c>
      <c r="D160" t="s">
        <v>15</v>
      </c>
      <c r="E160" t="s">
        <v>39</v>
      </c>
      <c r="F160">
        <v>2</v>
      </c>
      <c r="G160">
        <v>0</v>
      </c>
      <c r="H160" t="s">
        <v>14</v>
      </c>
      <c r="I160">
        <v>1</v>
      </c>
      <c r="J160" t="s">
        <v>48</v>
      </c>
      <c r="K160" t="s">
        <v>16</v>
      </c>
      <c r="L160" t="s">
        <v>14</v>
      </c>
    </row>
    <row r="161" spans="1:12" x14ac:dyDescent="0.3">
      <c r="A161">
        <v>2160</v>
      </c>
      <c r="B161">
        <v>71</v>
      </c>
      <c r="C161" t="s">
        <v>34</v>
      </c>
      <c r="D161" t="s">
        <v>15</v>
      </c>
      <c r="E161" t="s">
        <v>40</v>
      </c>
      <c r="F161">
        <v>5</v>
      </c>
      <c r="G161">
        <v>1</v>
      </c>
      <c r="H161" t="s">
        <v>16</v>
      </c>
      <c r="I161">
        <v>4</v>
      </c>
      <c r="J161" t="s">
        <v>33</v>
      </c>
      <c r="K161" t="s">
        <v>14</v>
      </c>
      <c r="L161" t="s">
        <v>16</v>
      </c>
    </row>
    <row r="162" spans="1:12" x14ac:dyDescent="0.3">
      <c r="A162">
        <v>2161</v>
      </c>
      <c r="B162">
        <v>19</v>
      </c>
      <c r="C162" t="s">
        <v>38</v>
      </c>
      <c r="D162" t="s">
        <v>17</v>
      </c>
      <c r="E162" t="s">
        <v>49</v>
      </c>
      <c r="F162">
        <v>12</v>
      </c>
      <c r="G162">
        <v>1</v>
      </c>
      <c r="H162" t="s">
        <v>16</v>
      </c>
      <c r="I162">
        <v>8</v>
      </c>
      <c r="J162" t="s">
        <v>33</v>
      </c>
      <c r="K162" t="s">
        <v>14</v>
      </c>
      <c r="L162" t="s">
        <v>16</v>
      </c>
    </row>
    <row r="163" spans="1:12" x14ac:dyDescent="0.3">
      <c r="A163">
        <v>2162</v>
      </c>
      <c r="B163">
        <v>86</v>
      </c>
      <c r="C163" t="s">
        <v>34</v>
      </c>
      <c r="D163" t="s">
        <v>19</v>
      </c>
      <c r="E163" t="s">
        <v>41</v>
      </c>
      <c r="F163">
        <v>11</v>
      </c>
      <c r="G163">
        <v>1</v>
      </c>
      <c r="H163" t="s">
        <v>16</v>
      </c>
      <c r="I163">
        <v>10</v>
      </c>
      <c r="J163" t="s">
        <v>33</v>
      </c>
      <c r="K163" t="s">
        <v>14</v>
      </c>
      <c r="L163" t="s">
        <v>16</v>
      </c>
    </row>
    <row r="164" spans="1:12" x14ac:dyDescent="0.3">
      <c r="A164">
        <v>2163</v>
      </c>
      <c r="B164">
        <v>66</v>
      </c>
      <c r="C164" t="s">
        <v>38</v>
      </c>
      <c r="D164" t="s">
        <v>15</v>
      </c>
      <c r="E164" t="s">
        <v>39</v>
      </c>
      <c r="F164">
        <v>3</v>
      </c>
      <c r="G164">
        <v>0</v>
      </c>
      <c r="H164" t="s">
        <v>16</v>
      </c>
      <c r="I164">
        <v>12</v>
      </c>
      <c r="J164" t="s">
        <v>36</v>
      </c>
      <c r="K164" t="s">
        <v>14</v>
      </c>
      <c r="L164" t="s">
        <v>16</v>
      </c>
    </row>
    <row r="165" spans="1:12" x14ac:dyDescent="0.3">
      <c r="A165">
        <v>2164</v>
      </c>
      <c r="B165">
        <v>45</v>
      </c>
      <c r="C165" t="s">
        <v>34</v>
      </c>
      <c r="D165" t="s">
        <v>15</v>
      </c>
      <c r="E165" t="s">
        <v>37</v>
      </c>
      <c r="F165">
        <v>6</v>
      </c>
      <c r="G165">
        <v>1</v>
      </c>
      <c r="H165" t="s">
        <v>16</v>
      </c>
      <c r="I165">
        <v>12</v>
      </c>
      <c r="J165" t="s">
        <v>36</v>
      </c>
      <c r="K165" t="s">
        <v>14</v>
      </c>
      <c r="L165" t="s">
        <v>16</v>
      </c>
    </row>
    <row r="166" spans="1:12" x14ac:dyDescent="0.3">
      <c r="A166">
        <v>2165</v>
      </c>
      <c r="B166">
        <v>81</v>
      </c>
      <c r="C166" t="s">
        <v>34</v>
      </c>
      <c r="D166" t="s">
        <v>18</v>
      </c>
      <c r="E166" t="s">
        <v>50</v>
      </c>
      <c r="F166">
        <v>8</v>
      </c>
      <c r="G166">
        <v>1</v>
      </c>
      <c r="H166" t="s">
        <v>16</v>
      </c>
      <c r="I166">
        <v>6</v>
      </c>
      <c r="J166" t="s">
        <v>48</v>
      </c>
      <c r="K166" t="s">
        <v>16</v>
      </c>
      <c r="L166" t="s">
        <v>16</v>
      </c>
    </row>
    <row r="167" spans="1:12" x14ac:dyDescent="0.3">
      <c r="A167">
        <v>2166</v>
      </c>
      <c r="B167">
        <v>82</v>
      </c>
      <c r="C167" t="s">
        <v>34</v>
      </c>
      <c r="D167" t="s">
        <v>15</v>
      </c>
      <c r="E167" t="s">
        <v>40</v>
      </c>
      <c r="F167">
        <v>10</v>
      </c>
      <c r="G167">
        <v>1</v>
      </c>
      <c r="H167" t="s">
        <v>14</v>
      </c>
      <c r="I167">
        <v>7</v>
      </c>
      <c r="J167" t="s">
        <v>33</v>
      </c>
      <c r="K167" t="s">
        <v>14</v>
      </c>
      <c r="L167" t="s">
        <v>16</v>
      </c>
    </row>
    <row r="168" spans="1:12" x14ac:dyDescent="0.3">
      <c r="A168">
        <v>2167</v>
      </c>
      <c r="B168">
        <v>23</v>
      </c>
      <c r="C168" t="s">
        <v>38</v>
      </c>
      <c r="D168" t="s">
        <v>18</v>
      </c>
      <c r="E168" t="s">
        <v>51</v>
      </c>
      <c r="F168">
        <v>13</v>
      </c>
      <c r="G168">
        <v>0</v>
      </c>
      <c r="H168" t="s">
        <v>16</v>
      </c>
      <c r="I168">
        <v>12</v>
      </c>
      <c r="J168" t="s">
        <v>33</v>
      </c>
      <c r="K168" t="s">
        <v>14</v>
      </c>
      <c r="L168" t="s">
        <v>16</v>
      </c>
    </row>
    <row r="169" spans="1:12" x14ac:dyDescent="0.3">
      <c r="A169">
        <v>2168</v>
      </c>
      <c r="B169">
        <v>58</v>
      </c>
      <c r="C169" t="s">
        <v>38</v>
      </c>
      <c r="D169" t="s">
        <v>15</v>
      </c>
      <c r="E169" t="s">
        <v>37</v>
      </c>
      <c r="F169">
        <v>5</v>
      </c>
      <c r="G169">
        <v>1</v>
      </c>
      <c r="H169" t="s">
        <v>14</v>
      </c>
      <c r="I169">
        <v>13</v>
      </c>
      <c r="J169" t="s">
        <v>36</v>
      </c>
      <c r="K169" t="s">
        <v>16</v>
      </c>
      <c r="L169" t="s">
        <v>14</v>
      </c>
    </row>
    <row r="170" spans="1:12" x14ac:dyDescent="0.3">
      <c r="A170">
        <v>2169</v>
      </c>
      <c r="B170">
        <v>47</v>
      </c>
      <c r="C170" t="s">
        <v>34</v>
      </c>
      <c r="D170" t="s">
        <v>19</v>
      </c>
      <c r="E170" t="s">
        <v>46</v>
      </c>
      <c r="F170">
        <v>4</v>
      </c>
      <c r="G170">
        <v>0</v>
      </c>
      <c r="H170" t="s">
        <v>16</v>
      </c>
      <c r="I170">
        <v>5</v>
      </c>
      <c r="J170" t="s">
        <v>33</v>
      </c>
      <c r="K170" t="s">
        <v>14</v>
      </c>
      <c r="L170" t="s">
        <v>16</v>
      </c>
    </row>
    <row r="171" spans="1:12" x14ac:dyDescent="0.3">
      <c r="A171">
        <v>2170</v>
      </c>
      <c r="B171">
        <v>35</v>
      </c>
      <c r="C171" t="s">
        <v>38</v>
      </c>
      <c r="D171" t="s">
        <v>15</v>
      </c>
      <c r="E171" t="s">
        <v>37</v>
      </c>
      <c r="F171">
        <v>10</v>
      </c>
      <c r="G171">
        <v>1</v>
      </c>
      <c r="H171" t="s">
        <v>16</v>
      </c>
      <c r="I171">
        <v>8</v>
      </c>
      <c r="J171" t="s">
        <v>44</v>
      </c>
      <c r="K171" t="s">
        <v>16</v>
      </c>
      <c r="L171" t="s">
        <v>16</v>
      </c>
    </row>
    <row r="172" spans="1:12" x14ac:dyDescent="0.3">
      <c r="A172">
        <v>2171</v>
      </c>
      <c r="B172">
        <v>24</v>
      </c>
      <c r="C172" t="s">
        <v>38</v>
      </c>
      <c r="D172" t="s">
        <v>17</v>
      </c>
      <c r="E172" t="s">
        <v>42</v>
      </c>
      <c r="F172">
        <v>1</v>
      </c>
      <c r="G172">
        <v>1</v>
      </c>
      <c r="H172" t="s">
        <v>16</v>
      </c>
      <c r="I172">
        <v>6</v>
      </c>
      <c r="J172" t="s">
        <v>44</v>
      </c>
      <c r="K172" t="s">
        <v>14</v>
      </c>
      <c r="L172" t="s">
        <v>16</v>
      </c>
    </row>
    <row r="173" spans="1:12" x14ac:dyDescent="0.3">
      <c r="A173">
        <v>2172</v>
      </c>
      <c r="B173">
        <v>42</v>
      </c>
      <c r="C173" t="s">
        <v>38</v>
      </c>
      <c r="D173" t="s">
        <v>13</v>
      </c>
      <c r="E173" t="s">
        <v>35</v>
      </c>
      <c r="F173">
        <v>13</v>
      </c>
      <c r="G173">
        <v>3</v>
      </c>
      <c r="H173" t="s">
        <v>14</v>
      </c>
      <c r="I173">
        <v>12</v>
      </c>
      <c r="J173" t="s">
        <v>33</v>
      </c>
      <c r="K173" t="s">
        <v>14</v>
      </c>
      <c r="L173" t="s">
        <v>14</v>
      </c>
    </row>
    <row r="174" spans="1:12" x14ac:dyDescent="0.3">
      <c r="A174">
        <v>2173</v>
      </c>
      <c r="B174">
        <v>89</v>
      </c>
      <c r="C174" t="s">
        <v>38</v>
      </c>
      <c r="D174" t="s">
        <v>17</v>
      </c>
      <c r="E174" t="s">
        <v>53</v>
      </c>
      <c r="F174">
        <v>2</v>
      </c>
      <c r="G174">
        <v>2</v>
      </c>
      <c r="H174" t="s">
        <v>16</v>
      </c>
      <c r="I174">
        <v>7</v>
      </c>
      <c r="J174" t="s">
        <v>48</v>
      </c>
      <c r="K174" t="s">
        <v>16</v>
      </c>
      <c r="L174" t="s">
        <v>16</v>
      </c>
    </row>
    <row r="175" spans="1:12" x14ac:dyDescent="0.3">
      <c r="A175">
        <v>2174</v>
      </c>
      <c r="B175">
        <v>76</v>
      </c>
      <c r="C175" t="s">
        <v>34</v>
      </c>
      <c r="D175" t="s">
        <v>13</v>
      </c>
      <c r="E175" t="s">
        <v>35</v>
      </c>
      <c r="F175">
        <v>13</v>
      </c>
      <c r="G175">
        <v>1</v>
      </c>
      <c r="H175" t="s">
        <v>16</v>
      </c>
      <c r="I175">
        <v>9</v>
      </c>
      <c r="J175" t="s">
        <v>33</v>
      </c>
      <c r="K175" t="s">
        <v>16</v>
      </c>
      <c r="L175" t="s">
        <v>14</v>
      </c>
    </row>
    <row r="176" spans="1:12" x14ac:dyDescent="0.3">
      <c r="A176">
        <v>2175</v>
      </c>
      <c r="B176">
        <v>83</v>
      </c>
      <c r="C176" t="s">
        <v>38</v>
      </c>
      <c r="D176" t="s">
        <v>13</v>
      </c>
      <c r="E176" t="s">
        <v>43</v>
      </c>
      <c r="F176">
        <v>11</v>
      </c>
      <c r="G176">
        <v>0</v>
      </c>
      <c r="H176" t="s">
        <v>14</v>
      </c>
      <c r="I176">
        <v>3</v>
      </c>
      <c r="J176" t="s">
        <v>33</v>
      </c>
      <c r="K176" t="s">
        <v>14</v>
      </c>
      <c r="L176" t="s">
        <v>16</v>
      </c>
    </row>
    <row r="177" spans="1:12" x14ac:dyDescent="0.3">
      <c r="A177">
        <v>2176</v>
      </c>
      <c r="B177">
        <v>23</v>
      </c>
      <c r="C177" t="s">
        <v>38</v>
      </c>
      <c r="D177" t="s">
        <v>19</v>
      </c>
      <c r="E177" t="s">
        <v>45</v>
      </c>
      <c r="F177">
        <v>5</v>
      </c>
      <c r="G177">
        <v>6</v>
      </c>
      <c r="H177" t="s">
        <v>14</v>
      </c>
      <c r="I177">
        <v>12</v>
      </c>
      <c r="J177" t="s">
        <v>33</v>
      </c>
      <c r="K177" t="s">
        <v>14</v>
      </c>
      <c r="L177" t="s">
        <v>14</v>
      </c>
    </row>
    <row r="178" spans="1:12" x14ac:dyDescent="0.3">
      <c r="A178">
        <v>2177</v>
      </c>
      <c r="B178">
        <v>37</v>
      </c>
      <c r="C178" t="s">
        <v>34</v>
      </c>
      <c r="D178" t="s">
        <v>13</v>
      </c>
      <c r="E178" t="s">
        <v>35</v>
      </c>
      <c r="F178">
        <v>10</v>
      </c>
      <c r="G178">
        <v>2</v>
      </c>
      <c r="H178" t="s">
        <v>16</v>
      </c>
      <c r="I178">
        <v>3</v>
      </c>
      <c r="J178" t="s">
        <v>33</v>
      </c>
      <c r="K178" t="s">
        <v>14</v>
      </c>
      <c r="L178" t="s">
        <v>16</v>
      </c>
    </row>
    <row r="179" spans="1:12" x14ac:dyDescent="0.3">
      <c r="A179">
        <v>2178</v>
      </c>
      <c r="B179">
        <v>83</v>
      </c>
      <c r="C179" t="s">
        <v>38</v>
      </c>
      <c r="D179" t="s">
        <v>18</v>
      </c>
      <c r="E179" t="s">
        <v>50</v>
      </c>
      <c r="F179">
        <v>5</v>
      </c>
      <c r="G179">
        <v>0</v>
      </c>
      <c r="H179" t="s">
        <v>14</v>
      </c>
      <c r="I179">
        <v>8</v>
      </c>
      <c r="J179" t="s">
        <v>33</v>
      </c>
      <c r="K179" t="s">
        <v>14</v>
      </c>
      <c r="L179" t="s">
        <v>16</v>
      </c>
    </row>
    <row r="180" spans="1:12" x14ac:dyDescent="0.3">
      <c r="A180">
        <v>2179</v>
      </c>
      <c r="B180">
        <v>36</v>
      </c>
      <c r="C180" t="s">
        <v>38</v>
      </c>
      <c r="D180" t="s">
        <v>19</v>
      </c>
      <c r="E180" t="s">
        <v>45</v>
      </c>
      <c r="F180">
        <v>11</v>
      </c>
      <c r="G180">
        <v>0</v>
      </c>
      <c r="H180" t="s">
        <v>16</v>
      </c>
      <c r="I180">
        <v>1</v>
      </c>
      <c r="J180" t="s">
        <v>44</v>
      </c>
      <c r="K180" t="s">
        <v>14</v>
      </c>
      <c r="L180" t="s">
        <v>16</v>
      </c>
    </row>
    <row r="181" spans="1:12" x14ac:dyDescent="0.3">
      <c r="A181">
        <v>2180</v>
      </c>
      <c r="B181">
        <v>62</v>
      </c>
      <c r="C181" t="s">
        <v>34</v>
      </c>
      <c r="D181" t="s">
        <v>15</v>
      </c>
      <c r="E181" t="s">
        <v>39</v>
      </c>
      <c r="F181">
        <v>11</v>
      </c>
      <c r="G181">
        <v>1</v>
      </c>
      <c r="H181" t="s">
        <v>14</v>
      </c>
      <c r="I181">
        <v>6</v>
      </c>
      <c r="J181" t="s">
        <v>44</v>
      </c>
      <c r="K181" t="s">
        <v>16</v>
      </c>
      <c r="L181" t="s">
        <v>14</v>
      </c>
    </row>
    <row r="182" spans="1:12" x14ac:dyDescent="0.3">
      <c r="A182">
        <v>2181</v>
      </c>
      <c r="B182">
        <v>39</v>
      </c>
      <c r="C182" t="s">
        <v>34</v>
      </c>
      <c r="D182" t="s">
        <v>15</v>
      </c>
      <c r="E182" t="s">
        <v>39</v>
      </c>
      <c r="F182">
        <v>1</v>
      </c>
      <c r="G182">
        <v>3</v>
      </c>
      <c r="H182" t="s">
        <v>14</v>
      </c>
      <c r="I182">
        <v>13</v>
      </c>
      <c r="J182" t="s">
        <v>48</v>
      </c>
      <c r="K182" t="s">
        <v>16</v>
      </c>
      <c r="L182" t="s">
        <v>14</v>
      </c>
    </row>
    <row r="183" spans="1:12" x14ac:dyDescent="0.3">
      <c r="A183">
        <v>2182</v>
      </c>
      <c r="B183">
        <v>57</v>
      </c>
      <c r="C183" t="s">
        <v>38</v>
      </c>
      <c r="D183" t="s">
        <v>13</v>
      </c>
      <c r="E183" t="s">
        <v>43</v>
      </c>
      <c r="F183">
        <v>9</v>
      </c>
      <c r="G183">
        <v>2</v>
      </c>
      <c r="H183" t="s">
        <v>16</v>
      </c>
      <c r="I183">
        <v>5</v>
      </c>
      <c r="J183" t="s">
        <v>48</v>
      </c>
      <c r="K183" t="s">
        <v>14</v>
      </c>
      <c r="L183" t="s">
        <v>16</v>
      </c>
    </row>
    <row r="184" spans="1:12" x14ac:dyDescent="0.3">
      <c r="A184">
        <v>2183</v>
      </c>
      <c r="B184">
        <v>88</v>
      </c>
      <c r="C184" t="s">
        <v>34</v>
      </c>
      <c r="D184" t="s">
        <v>19</v>
      </c>
      <c r="E184" t="s">
        <v>46</v>
      </c>
      <c r="F184">
        <v>6</v>
      </c>
      <c r="G184">
        <v>0</v>
      </c>
      <c r="H184" t="s">
        <v>16</v>
      </c>
      <c r="I184">
        <v>4</v>
      </c>
      <c r="J184" t="s">
        <v>33</v>
      </c>
      <c r="K184" t="s">
        <v>14</v>
      </c>
      <c r="L184" t="s">
        <v>16</v>
      </c>
    </row>
    <row r="185" spans="1:12" x14ac:dyDescent="0.3">
      <c r="A185">
        <v>2184</v>
      </c>
      <c r="B185">
        <v>45</v>
      </c>
      <c r="C185" t="s">
        <v>38</v>
      </c>
      <c r="D185" t="s">
        <v>15</v>
      </c>
      <c r="E185" t="s">
        <v>37</v>
      </c>
      <c r="F185">
        <v>14</v>
      </c>
      <c r="G185">
        <v>3</v>
      </c>
      <c r="H185" t="s">
        <v>16</v>
      </c>
      <c r="I185">
        <v>13</v>
      </c>
      <c r="J185" t="s">
        <v>33</v>
      </c>
      <c r="K185" t="s">
        <v>14</v>
      </c>
      <c r="L185" t="s">
        <v>14</v>
      </c>
    </row>
    <row r="186" spans="1:12" x14ac:dyDescent="0.3">
      <c r="A186">
        <v>2185</v>
      </c>
      <c r="B186">
        <v>49</v>
      </c>
      <c r="C186" t="s">
        <v>34</v>
      </c>
      <c r="D186" t="s">
        <v>15</v>
      </c>
      <c r="E186" t="s">
        <v>40</v>
      </c>
      <c r="F186">
        <v>6</v>
      </c>
      <c r="G186">
        <v>0</v>
      </c>
      <c r="H186" t="s">
        <v>16</v>
      </c>
      <c r="I186">
        <v>10</v>
      </c>
      <c r="J186" t="s">
        <v>33</v>
      </c>
      <c r="K186" t="s">
        <v>14</v>
      </c>
      <c r="L186" t="s">
        <v>16</v>
      </c>
    </row>
    <row r="187" spans="1:12" x14ac:dyDescent="0.3">
      <c r="A187">
        <v>2186</v>
      </c>
      <c r="B187">
        <v>81</v>
      </c>
      <c r="C187" t="s">
        <v>38</v>
      </c>
      <c r="D187" t="s">
        <v>17</v>
      </c>
      <c r="E187" t="s">
        <v>53</v>
      </c>
      <c r="F187">
        <v>1</v>
      </c>
      <c r="G187">
        <v>2</v>
      </c>
      <c r="H187" t="s">
        <v>16</v>
      </c>
      <c r="I187">
        <v>4</v>
      </c>
      <c r="J187" t="s">
        <v>33</v>
      </c>
      <c r="K187" t="s">
        <v>14</v>
      </c>
      <c r="L187" t="s">
        <v>16</v>
      </c>
    </row>
    <row r="188" spans="1:12" x14ac:dyDescent="0.3">
      <c r="A188">
        <v>2187</v>
      </c>
      <c r="B188">
        <v>83</v>
      </c>
      <c r="C188" t="s">
        <v>31</v>
      </c>
      <c r="D188" t="s">
        <v>19</v>
      </c>
      <c r="E188" t="s">
        <v>45</v>
      </c>
      <c r="F188">
        <v>11</v>
      </c>
      <c r="G188">
        <v>0</v>
      </c>
      <c r="H188" t="s">
        <v>16</v>
      </c>
      <c r="I188">
        <v>4</v>
      </c>
      <c r="J188" t="s">
        <v>33</v>
      </c>
      <c r="K188" t="s">
        <v>14</v>
      </c>
      <c r="L188" t="s">
        <v>16</v>
      </c>
    </row>
    <row r="189" spans="1:12" x14ac:dyDescent="0.3">
      <c r="A189">
        <v>2188</v>
      </c>
      <c r="B189">
        <v>25</v>
      </c>
      <c r="C189" t="s">
        <v>34</v>
      </c>
      <c r="D189" t="s">
        <v>18</v>
      </c>
      <c r="E189" t="s">
        <v>52</v>
      </c>
      <c r="F189">
        <v>3</v>
      </c>
      <c r="G189">
        <v>2</v>
      </c>
      <c r="H189" t="s">
        <v>16</v>
      </c>
      <c r="I189">
        <v>6</v>
      </c>
      <c r="J189" t="s">
        <v>44</v>
      </c>
      <c r="K189" t="s">
        <v>16</v>
      </c>
      <c r="L189" t="s">
        <v>16</v>
      </c>
    </row>
    <row r="190" spans="1:12" x14ac:dyDescent="0.3">
      <c r="A190">
        <v>2189</v>
      </c>
      <c r="B190">
        <v>88</v>
      </c>
      <c r="C190" t="s">
        <v>34</v>
      </c>
      <c r="D190" t="s">
        <v>18</v>
      </c>
      <c r="E190" t="s">
        <v>50</v>
      </c>
      <c r="F190">
        <v>3</v>
      </c>
      <c r="G190">
        <v>1</v>
      </c>
      <c r="H190" t="s">
        <v>16</v>
      </c>
      <c r="I190">
        <v>1</v>
      </c>
      <c r="J190" t="s">
        <v>36</v>
      </c>
      <c r="K190" t="s">
        <v>16</v>
      </c>
      <c r="L190" t="s">
        <v>16</v>
      </c>
    </row>
    <row r="191" spans="1:12" x14ac:dyDescent="0.3">
      <c r="A191">
        <v>2190</v>
      </c>
      <c r="B191">
        <v>54</v>
      </c>
      <c r="C191" t="s">
        <v>38</v>
      </c>
      <c r="D191" t="s">
        <v>13</v>
      </c>
      <c r="E191" t="s">
        <v>35</v>
      </c>
      <c r="F191">
        <v>13</v>
      </c>
      <c r="G191">
        <v>1</v>
      </c>
      <c r="H191" t="s">
        <v>14</v>
      </c>
      <c r="I191">
        <v>5</v>
      </c>
      <c r="J191" t="s">
        <v>33</v>
      </c>
      <c r="K191" t="s">
        <v>14</v>
      </c>
      <c r="L191" t="s">
        <v>16</v>
      </c>
    </row>
    <row r="192" spans="1:12" x14ac:dyDescent="0.3">
      <c r="A192">
        <v>2191</v>
      </c>
      <c r="B192">
        <v>60</v>
      </c>
      <c r="C192" t="s">
        <v>38</v>
      </c>
      <c r="D192" t="s">
        <v>13</v>
      </c>
      <c r="E192" t="s">
        <v>43</v>
      </c>
      <c r="F192">
        <v>13</v>
      </c>
      <c r="G192">
        <v>1</v>
      </c>
      <c r="H192" t="s">
        <v>16</v>
      </c>
      <c r="I192">
        <v>6</v>
      </c>
      <c r="J192" t="s">
        <v>33</v>
      </c>
      <c r="K192" t="s">
        <v>14</v>
      </c>
      <c r="L192" t="s">
        <v>16</v>
      </c>
    </row>
    <row r="193" spans="1:12" x14ac:dyDescent="0.3">
      <c r="A193">
        <v>2192</v>
      </c>
      <c r="B193">
        <v>25</v>
      </c>
      <c r="C193" t="s">
        <v>34</v>
      </c>
      <c r="D193" t="s">
        <v>13</v>
      </c>
      <c r="E193" t="s">
        <v>32</v>
      </c>
      <c r="F193">
        <v>3</v>
      </c>
      <c r="G193">
        <v>1</v>
      </c>
      <c r="H193" t="s">
        <v>14</v>
      </c>
      <c r="I193">
        <v>8</v>
      </c>
      <c r="J193" t="s">
        <v>48</v>
      </c>
      <c r="K193" t="s">
        <v>14</v>
      </c>
      <c r="L193" t="s">
        <v>16</v>
      </c>
    </row>
    <row r="194" spans="1:12" x14ac:dyDescent="0.3">
      <c r="A194">
        <v>2193</v>
      </c>
      <c r="B194">
        <v>36</v>
      </c>
      <c r="C194" t="s">
        <v>38</v>
      </c>
      <c r="D194" t="s">
        <v>15</v>
      </c>
      <c r="E194" t="s">
        <v>39</v>
      </c>
      <c r="F194">
        <v>6</v>
      </c>
      <c r="G194">
        <v>1</v>
      </c>
      <c r="H194" t="s">
        <v>14</v>
      </c>
      <c r="J194" t="s">
        <v>44</v>
      </c>
      <c r="K194" t="s">
        <v>16</v>
      </c>
      <c r="L194" t="s">
        <v>16</v>
      </c>
    </row>
    <row r="195" spans="1:12" x14ac:dyDescent="0.3">
      <c r="A195">
        <v>2194</v>
      </c>
      <c r="B195">
        <v>78</v>
      </c>
      <c r="C195" t="s">
        <v>34</v>
      </c>
      <c r="D195" t="s">
        <v>13</v>
      </c>
      <c r="E195" t="s">
        <v>43</v>
      </c>
      <c r="F195">
        <v>11</v>
      </c>
      <c r="G195">
        <v>3</v>
      </c>
      <c r="H195" t="s">
        <v>16</v>
      </c>
      <c r="J195" t="s">
        <v>44</v>
      </c>
      <c r="K195" t="s">
        <v>14</v>
      </c>
      <c r="L195" t="s">
        <v>16</v>
      </c>
    </row>
    <row r="196" spans="1:12" x14ac:dyDescent="0.3">
      <c r="A196">
        <v>2195</v>
      </c>
      <c r="B196">
        <v>48</v>
      </c>
      <c r="C196" t="s">
        <v>38</v>
      </c>
      <c r="D196" t="s">
        <v>19</v>
      </c>
      <c r="E196" t="s">
        <v>45</v>
      </c>
      <c r="F196">
        <v>4</v>
      </c>
      <c r="G196">
        <v>0</v>
      </c>
      <c r="H196" t="s">
        <v>16</v>
      </c>
      <c r="I196">
        <v>12</v>
      </c>
      <c r="J196" t="s">
        <v>36</v>
      </c>
      <c r="K196" t="s">
        <v>14</v>
      </c>
      <c r="L196" t="s">
        <v>16</v>
      </c>
    </row>
    <row r="197" spans="1:12" x14ac:dyDescent="0.3">
      <c r="A197">
        <v>2196</v>
      </c>
      <c r="B197">
        <v>23</v>
      </c>
      <c r="C197" t="s">
        <v>38</v>
      </c>
      <c r="D197" t="s">
        <v>13</v>
      </c>
      <c r="E197" t="s">
        <v>35</v>
      </c>
      <c r="F197">
        <v>10</v>
      </c>
      <c r="G197">
        <v>0</v>
      </c>
      <c r="H197" t="s">
        <v>14</v>
      </c>
      <c r="I197">
        <v>1</v>
      </c>
      <c r="J197" t="s">
        <v>48</v>
      </c>
      <c r="K197" t="s">
        <v>14</v>
      </c>
      <c r="L197" t="s">
        <v>16</v>
      </c>
    </row>
    <row r="198" spans="1:12" x14ac:dyDescent="0.3">
      <c r="A198">
        <v>2197</v>
      </c>
      <c r="B198">
        <v>76</v>
      </c>
      <c r="C198" t="s">
        <v>38</v>
      </c>
      <c r="D198" t="s">
        <v>19</v>
      </c>
      <c r="E198" t="s">
        <v>46</v>
      </c>
      <c r="F198">
        <v>12</v>
      </c>
      <c r="G198">
        <v>1</v>
      </c>
      <c r="H198" t="s">
        <v>16</v>
      </c>
      <c r="I198">
        <v>1</v>
      </c>
      <c r="J198" t="s">
        <v>48</v>
      </c>
      <c r="K198" t="s">
        <v>14</v>
      </c>
      <c r="L198" t="s">
        <v>16</v>
      </c>
    </row>
    <row r="199" spans="1:12" x14ac:dyDescent="0.3">
      <c r="A199">
        <v>2198</v>
      </c>
      <c r="B199">
        <v>37</v>
      </c>
      <c r="C199" t="s">
        <v>38</v>
      </c>
      <c r="D199" t="s">
        <v>13</v>
      </c>
      <c r="E199" t="s">
        <v>35</v>
      </c>
      <c r="F199">
        <v>9</v>
      </c>
      <c r="G199">
        <v>0</v>
      </c>
      <c r="H199" t="s">
        <v>16</v>
      </c>
      <c r="I199">
        <v>4</v>
      </c>
      <c r="J199" t="s">
        <v>44</v>
      </c>
      <c r="K199" t="s">
        <v>14</v>
      </c>
      <c r="L199" t="s">
        <v>16</v>
      </c>
    </row>
    <row r="200" spans="1:12" x14ac:dyDescent="0.3">
      <c r="A200">
        <v>2199</v>
      </c>
      <c r="B200">
        <v>52</v>
      </c>
      <c r="C200" t="s">
        <v>38</v>
      </c>
      <c r="D200" t="s">
        <v>17</v>
      </c>
      <c r="E200" t="s">
        <v>53</v>
      </c>
      <c r="F200">
        <v>5</v>
      </c>
      <c r="G200">
        <v>3</v>
      </c>
      <c r="H200" t="s">
        <v>14</v>
      </c>
      <c r="I200">
        <v>12</v>
      </c>
      <c r="J200" t="s">
        <v>44</v>
      </c>
      <c r="K200" t="s">
        <v>14</v>
      </c>
      <c r="L200" t="s">
        <v>16</v>
      </c>
    </row>
    <row r="201" spans="1:12" x14ac:dyDescent="0.3">
      <c r="A201">
        <v>2200</v>
      </c>
      <c r="B201">
        <v>54</v>
      </c>
      <c r="C201" t="s">
        <v>38</v>
      </c>
      <c r="D201" t="s">
        <v>19</v>
      </c>
      <c r="E201" t="s">
        <v>41</v>
      </c>
      <c r="F201">
        <v>7</v>
      </c>
      <c r="G201">
        <v>1</v>
      </c>
      <c r="H201" t="s">
        <v>16</v>
      </c>
      <c r="I201">
        <v>4</v>
      </c>
      <c r="J201" t="s">
        <v>48</v>
      </c>
      <c r="K201" t="s">
        <v>14</v>
      </c>
      <c r="L201" t="s">
        <v>16</v>
      </c>
    </row>
    <row r="202" spans="1:12" x14ac:dyDescent="0.3">
      <c r="A202">
        <v>2201</v>
      </c>
      <c r="B202">
        <v>57</v>
      </c>
      <c r="C202" t="s">
        <v>34</v>
      </c>
      <c r="D202" t="s">
        <v>19</v>
      </c>
      <c r="E202" t="s">
        <v>46</v>
      </c>
      <c r="F202">
        <v>7</v>
      </c>
      <c r="G202">
        <v>0</v>
      </c>
      <c r="H202" t="s">
        <v>16</v>
      </c>
      <c r="I202">
        <v>1</v>
      </c>
      <c r="J202" t="s">
        <v>33</v>
      </c>
      <c r="K202" t="s">
        <v>14</v>
      </c>
      <c r="L202" t="s">
        <v>16</v>
      </c>
    </row>
    <row r="203" spans="1:12" x14ac:dyDescent="0.3">
      <c r="A203">
        <v>2202</v>
      </c>
      <c r="B203">
        <v>22</v>
      </c>
      <c r="C203" t="s">
        <v>38</v>
      </c>
      <c r="D203" t="s">
        <v>15</v>
      </c>
      <c r="E203" t="s">
        <v>40</v>
      </c>
      <c r="F203">
        <v>2</v>
      </c>
      <c r="G203">
        <v>0</v>
      </c>
      <c r="H203" t="s">
        <v>16</v>
      </c>
      <c r="I203">
        <v>9</v>
      </c>
      <c r="J203" t="s">
        <v>36</v>
      </c>
      <c r="K203" t="s">
        <v>14</v>
      </c>
      <c r="L203" t="s">
        <v>16</v>
      </c>
    </row>
    <row r="204" spans="1:12" x14ac:dyDescent="0.3">
      <c r="A204">
        <v>2203</v>
      </c>
      <c r="B204">
        <v>19</v>
      </c>
      <c r="C204" t="s">
        <v>34</v>
      </c>
      <c r="D204" t="s">
        <v>19</v>
      </c>
      <c r="E204" t="s">
        <v>41</v>
      </c>
      <c r="F204">
        <v>13</v>
      </c>
      <c r="G204">
        <v>0</v>
      </c>
      <c r="H204" t="s">
        <v>14</v>
      </c>
      <c r="I204">
        <v>4</v>
      </c>
      <c r="J204" t="s">
        <v>33</v>
      </c>
      <c r="K204" t="s">
        <v>16</v>
      </c>
      <c r="L204" t="s">
        <v>14</v>
      </c>
    </row>
    <row r="205" spans="1:12" x14ac:dyDescent="0.3">
      <c r="A205">
        <v>2204</v>
      </c>
      <c r="B205">
        <v>53</v>
      </c>
      <c r="C205" t="s">
        <v>34</v>
      </c>
      <c r="D205" t="s">
        <v>19</v>
      </c>
      <c r="E205" t="s">
        <v>41</v>
      </c>
      <c r="F205">
        <v>3</v>
      </c>
      <c r="G205">
        <v>0</v>
      </c>
      <c r="H205" t="s">
        <v>16</v>
      </c>
      <c r="I205">
        <v>5</v>
      </c>
      <c r="J205" t="s">
        <v>33</v>
      </c>
      <c r="K205" t="s">
        <v>14</v>
      </c>
      <c r="L205" t="s">
        <v>16</v>
      </c>
    </row>
    <row r="206" spans="1:12" x14ac:dyDescent="0.3">
      <c r="A206">
        <v>2205</v>
      </c>
      <c r="B206">
        <v>54</v>
      </c>
      <c r="C206" t="s">
        <v>38</v>
      </c>
      <c r="D206" t="s">
        <v>13</v>
      </c>
      <c r="E206" t="s">
        <v>43</v>
      </c>
      <c r="F206">
        <v>14</v>
      </c>
      <c r="G206">
        <v>1</v>
      </c>
      <c r="H206" t="s">
        <v>14</v>
      </c>
      <c r="I206">
        <v>12</v>
      </c>
      <c r="J206" t="s">
        <v>48</v>
      </c>
      <c r="K206" t="s">
        <v>16</v>
      </c>
      <c r="L206" t="s">
        <v>14</v>
      </c>
    </row>
    <row r="207" spans="1:12" x14ac:dyDescent="0.3">
      <c r="A207">
        <v>2206</v>
      </c>
      <c r="B207">
        <v>82</v>
      </c>
      <c r="C207" t="s">
        <v>31</v>
      </c>
      <c r="D207" t="s">
        <v>19</v>
      </c>
      <c r="E207" t="s">
        <v>41</v>
      </c>
      <c r="F207">
        <v>5</v>
      </c>
      <c r="G207">
        <v>2</v>
      </c>
      <c r="H207" t="s">
        <v>14</v>
      </c>
      <c r="I207">
        <v>12</v>
      </c>
      <c r="J207" t="s">
        <v>48</v>
      </c>
      <c r="K207" t="s">
        <v>16</v>
      </c>
      <c r="L207" t="s">
        <v>14</v>
      </c>
    </row>
    <row r="208" spans="1:12" x14ac:dyDescent="0.3">
      <c r="A208">
        <v>2207</v>
      </c>
      <c r="B208">
        <v>32</v>
      </c>
      <c r="C208" t="s">
        <v>34</v>
      </c>
      <c r="D208" t="s">
        <v>15</v>
      </c>
      <c r="E208" t="s">
        <v>40</v>
      </c>
      <c r="F208">
        <v>2</v>
      </c>
      <c r="G208">
        <v>0</v>
      </c>
      <c r="H208" t="s">
        <v>16</v>
      </c>
      <c r="I208">
        <v>4</v>
      </c>
      <c r="J208" t="s">
        <v>33</v>
      </c>
      <c r="K208" t="s">
        <v>16</v>
      </c>
      <c r="L208" t="s">
        <v>16</v>
      </c>
    </row>
    <row r="209" spans="1:12" x14ac:dyDescent="0.3">
      <c r="A209">
        <v>2208</v>
      </c>
      <c r="B209">
        <v>48</v>
      </c>
      <c r="C209" t="s">
        <v>34</v>
      </c>
      <c r="D209" t="s">
        <v>15</v>
      </c>
      <c r="E209" t="s">
        <v>40</v>
      </c>
      <c r="F209">
        <v>4</v>
      </c>
      <c r="G209">
        <v>1</v>
      </c>
      <c r="H209" t="s">
        <v>16</v>
      </c>
      <c r="I209">
        <v>6</v>
      </c>
      <c r="J209" t="s">
        <v>48</v>
      </c>
      <c r="K209" t="s">
        <v>16</v>
      </c>
      <c r="L209" t="s">
        <v>16</v>
      </c>
    </row>
    <row r="210" spans="1:12" x14ac:dyDescent="0.3">
      <c r="A210">
        <v>2209</v>
      </c>
      <c r="B210">
        <v>24</v>
      </c>
      <c r="C210" t="s">
        <v>38</v>
      </c>
      <c r="D210" t="s">
        <v>13</v>
      </c>
      <c r="E210" t="s">
        <v>35</v>
      </c>
      <c r="F210">
        <v>10</v>
      </c>
      <c r="G210">
        <v>0</v>
      </c>
      <c r="H210" t="s">
        <v>14</v>
      </c>
      <c r="I210">
        <v>13</v>
      </c>
      <c r="J210" t="s">
        <v>33</v>
      </c>
      <c r="K210" t="s">
        <v>16</v>
      </c>
      <c r="L210" t="s">
        <v>16</v>
      </c>
    </row>
    <row r="211" spans="1:12" x14ac:dyDescent="0.3">
      <c r="A211">
        <v>2210</v>
      </c>
      <c r="B211">
        <v>69</v>
      </c>
      <c r="C211" t="s">
        <v>38</v>
      </c>
      <c r="D211" t="s">
        <v>15</v>
      </c>
      <c r="E211" t="s">
        <v>39</v>
      </c>
      <c r="F211">
        <v>12</v>
      </c>
      <c r="G211">
        <v>0</v>
      </c>
      <c r="H211" t="s">
        <v>14</v>
      </c>
      <c r="I211">
        <v>14</v>
      </c>
      <c r="J211" t="s">
        <v>44</v>
      </c>
      <c r="K211" t="s">
        <v>16</v>
      </c>
      <c r="L211" t="s">
        <v>14</v>
      </c>
    </row>
    <row r="212" spans="1:12" x14ac:dyDescent="0.3">
      <c r="A212">
        <v>2211</v>
      </c>
      <c r="B212">
        <v>89</v>
      </c>
      <c r="C212" t="s">
        <v>34</v>
      </c>
      <c r="D212" t="s">
        <v>13</v>
      </c>
      <c r="E212" t="s">
        <v>32</v>
      </c>
      <c r="F212">
        <v>7</v>
      </c>
      <c r="G212">
        <v>2</v>
      </c>
      <c r="H212" t="s">
        <v>16</v>
      </c>
      <c r="I212">
        <v>1</v>
      </c>
      <c r="J212" t="s">
        <v>33</v>
      </c>
      <c r="K212" t="s">
        <v>16</v>
      </c>
      <c r="L212" t="s">
        <v>16</v>
      </c>
    </row>
    <row r="213" spans="1:12" x14ac:dyDescent="0.3">
      <c r="A213">
        <v>2212</v>
      </c>
      <c r="B213">
        <v>45</v>
      </c>
      <c r="C213" t="s">
        <v>34</v>
      </c>
      <c r="D213" t="s">
        <v>18</v>
      </c>
      <c r="E213" t="s">
        <v>51</v>
      </c>
      <c r="F213">
        <v>12</v>
      </c>
      <c r="G213">
        <v>0</v>
      </c>
      <c r="H213" t="s">
        <v>16</v>
      </c>
      <c r="I213">
        <v>5</v>
      </c>
      <c r="J213" t="s">
        <v>33</v>
      </c>
      <c r="K213" t="s">
        <v>16</v>
      </c>
      <c r="L213" t="s">
        <v>16</v>
      </c>
    </row>
    <row r="214" spans="1:12" x14ac:dyDescent="0.3">
      <c r="A214">
        <v>2213</v>
      </c>
      <c r="B214">
        <v>20</v>
      </c>
      <c r="C214" t="s">
        <v>38</v>
      </c>
      <c r="D214" t="s">
        <v>13</v>
      </c>
      <c r="E214" t="s">
        <v>32</v>
      </c>
      <c r="F214">
        <v>14</v>
      </c>
      <c r="G214">
        <v>0</v>
      </c>
      <c r="H214" t="s">
        <v>16</v>
      </c>
      <c r="I214">
        <v>10</v>
      </c>
      <c r="J214" t="s">
        <v>33</v>
      </c>
      <c r="K214" t="s">
        <v>14</v>
      </c>
      <c r="L214" t="s">
        <v>16</v>
      </c>
    </row>
    <row r="215" spans="1:12" x14ac:dyDescent="0.3">
      <c r="A215">
        <v>2214</v>
      </c>
      <c r="B215">
        <v>79</v>
      </c>
      <c r="C215" t="s">
        <v>31</v>
      </c>
      <c r="D215" t="s">
        <v>15</v>
      </c>
      <c r="E215" t="s">
        <v>40</v>
      </c>
      <c r="F215">
        <v>13</v>
      </c>
      <c r="G215">
        <v>1</v>
      </c>
      <c r="H215" t="s">
        <v>14</v>
      </c>
      <c r="I215">
        <v>13</v>
      </c>
      <c r="J215" t="s">
        <v>44</v>
      </c>
      <c r="K215" t="s">
        <v>14</v>
      </c>
      <c r="L215" t="s">
        <v>16</v>
      </c>
    </row>
    <row r="216" spans="1:12" x14ac:dyDescent="0.3">
      <c r="A216">
        <v>2215</v>
      </c>
      <c r="B216">
        <v>26</v>
      </c>
      <c r="C216" t="s">
        <v>34</v>
      </c>
      <c r="D216" t="s">
        <v>18</v>
      </c>
      <c r="E216" t="s">
        <v>51</v>
      </c>
      <c r="F216">
        <v>2</v>
      </c>
      <c r="G216">
        <v>2</v>
      </c>
      <c r="H216" t="s">
        <v>16</v>
      </c>
      <c r="I216">
        <v>11</v>
      </c>
      <c r="J216" t="s">
        <v>33</v>
      </c>
      <c r="K216" t="s">
        <v>14</v>
      </c>
      <c r="L216" t="s">
        <v>16</v>
      </c>
    </row>
    <row r="217" spans="1:12" x14ac:dyDescent="0.3">
      <c r="A217">
        <v>2216</v>
      </c>
      <c r="B217">
        <v>87</v>
      </c>
      <c r="C217" t="s">
        <v>34</v>
      </c>
      <c r="D217" t="s">
        <v>17</v>
      </c>
      <c r="E217" t="s">
        <v>49</v>
      </c>
      <c r="F217">
        <v>1</v>
      </c>
      <c r="G217">
        <v>0</v>
      </c>
      <c r="H217" t="s">
        <v>16</v>
      </c>
      <c r="I217">
        <v>3</v>
      </c>
      <c r="J217" t="s">
        <v>33</v>
      </c>
      <c r="K217" t="s">
        <v>16</v>
      </c>
      <c r="L217" t="s">
        <v>16</v>
      </c>
    </row>
    <row r="218" spans="1:12" x14ac:dyDescent="0.3">
      <c r="A218">
        <v>2217</v>
      </c>
      <c r="B218">
        <v>51</v>
      </c>
      <c r="C218" t="s">
        <v>38</v>
      </c>
      <c r="D218" t="s">
        <v>19</v>
      </c>
      <c r="E218" t="s">
        <v>41</v>
      </c>
      <c r="F218">
        <v>2</v>
      </c>
      <c r="G218">
        <v>0</v>
      </c>
      <c r="H218" t="s">
        <v>16</v>
      </c>
      <c r="I218">
        <v>10</v>
      </c>
      <c r="J218" t="s">
        <v>36</v>
      </c>
      <c r="K218" t="s">
        <v>14</v>
      </c>
      <c r="L218" t="s">
        <v>16</v>
      </c>
    </row>
    <row r="219" spans="1:12" x14ac:dyDescent="0.3">
      <c r="A219">
        <v>2218</v>
      </c>
      <c r="B219">
        <v>46</v>
      </c>
      <c r="C219" t="s">
        <v>38</v>
      </c>
      <c r="D219" t="s">
        <v>19</v>
      </c>
      <c r="E219" t="s">
        <v>45</v>
      </c>
      <c r="F219">
        <v>13</v>
      </c>
      <c r="G219">
        <v>4</v>
      </c>
      <c r="H219" t="s">
        <v>14</v>
      </c>
      <c r="I219">
        <v>6</v>
      </c>
      <c r="J219" t="s">
        <v>33</v>
      </c>
      <c r="K219" t="s">
        <v>16</v>
      </c>
      <c r="L219" t="s">
        <v>14</v>
      </c>
    </row>
    <row r="220" spans="1:12" x14ac:dyDescent="0.3">
      <c r="A220">
        <v>2219</v>
      </c>
      <c r="B220">
        <v>67</v>
      </c>
      <c r="C220" t="s">
        <v>34</v>
      </c>
      <c r="D220" t="s">
        <v>17</v>
      </c>
      <c r="E220" t="s">
        <v>53</v>
      </c>
      <c r="F220">
        <v>10</v>
      </c>
      <c r="G220">
        <v>0</v>
      </c>
      <c r="H220" t="s">
        <v>14</v>
      </c>
      <c r="I220">
        <v>12</v>
      </c>
      <c r="J220" t="s">
        <v>44</v>
      </c>
      <c r="K220" t="s">
        <v>14</v>
      </c>
      <c r="L220" t="s">
        <v>16</v>
      </c>
    </row>
    <row r="221" spans="1:12" x14ac:dyDescent="0.3">
      <c r="A221">
        <v>2220</v>
      </c>
      <c r="B221">
        <v>51</v>
      </c>
      <c r="C221" t="s">
        <v>38</v>
      </c>
      <c r="D221" t="s">
        <v>13</v>
      </c>
      <c r="E221" t="s">
        <v>43</v>
      </c>
      <c r="F221">
        <v>11</v>
      </c>
      <c r="G221">
        <v>0</v>
      </c>
      <c r="H221" t="s">
        <v>14</v>
      </c>
      <c r="I221">
        <v>8</v>
      </c>
      <c r="J221" t="s">
        <v>48</v>
      </c>
      <c r="K221" t="s">
        <v>14</v>
      </c>
      <c r="L221" t="s">
        <v>16</v>
      </c>
    </row>
    <row r="222" spans="1:12" x14ac:dyDescent="0.3">
      <c r="A222">
        <v>2221</v>
      </c>
      <c r="B222">
        <v>35</v>
      </c>
      <c r="C222" t="s">
        <v>34</v>
      </c>
      <c r="D222" t="s">
        <v>15</v>
      </c>
      <c r="E222" t="s">
        <v>39</v>
      </c>
      <c r="F222">
        <v>14</v>
      </c>
      <c r="G222">
        <v>2</v>
      </c>
      <c r="H222" t="s">
        <v>16</v>
      </c>
      <c r="I222">
        <v>7</v>
      </c>
      <c r="J222" t="s">
        <v>33</v>
      </c>
      <c r="K222" t="s">
        <v>14</v>
      </c>
      <c r="L222" t="s">
        <v>16</v>
      </c>
    </row>
    <row r="223" spans="1:12" x14ac:dyDescent="0.3">
      <c r="A223">
        <v>2222</v>
      </c>
      <c r="B223">
        <v>19</v>
      </c>
      <c r="C223" t="s">
        <v>34</v>
      </c>
      <c r="D223" t="s">
        <v>13</v>
      </c>
      <c r="E223" t="s">
        <v>32</v>
      </c>
      <c r="F223">
        <v>5</v>
      </c>
      <c r="G223">
        <v>2</v>
      </c>
      <c r="H223" t="s">
        <v>14</v>
      </c>
      <c r="I223">
        <v>12</v>
      </c>
      <c r="J223" t="s">
        <v>36</v>
      </c>
      <c r="K223" t="s">
        <v>16</v>
      </c>
      <c r="L223" t="s">
        <v>16</v>
      </c>
    </row>
    <row r="224" spans="1:12" x14ac:dyDescent="0.3">
      <c r="A224">
        <v>2223</v>
      </c>
      <c r="B224">
        <v>36</v>
      </c>
      <c r="C224" t="s">
        <v>38</v>
      </c>
      <c r="D224" t="s">
        <v>15</v>
      </c>
      <c r="E224" t="s">
        <v>39</v>
      </c>
      <c r="F224">
        <v>2</v>
      </c>
      <c r="G224">
        <v>0</v>
      </c>
      <c r="H224" t="s">
        <v>14</v>
      </c>
      <c r="I224">
        <v>1</v>
      </c>
      <c r="J224" t="s">
        <v>33</v>
      </c>
      <c r="K224" t="s">
        <v>16</v>
      </c>
      <c r="L224" t="s">
        <v>14</v>
      </c>
    </row>
    <row r="225" spans="1:12" x14ac:dyDescent="0.3">
      <c r="A225">
        <v>2224</v>
      </c>
      <c r="B225">
        <v>86</v>
      </c>
      <c r="C225" t="s">
        <v>34</v>
      </c>
      <c r="D225" t="s">
        <v>15</v>
      </c>
      <c r="E225" t="s">
        <v>39</v>
      </c>
      <c r="F225">
        <v>3</v>
      </c>
      <c r="G225">
        <v>0</v>
      </c>
      <c r="H225" t="s">
        <v>16</v>
      </c>
      <c r="I225">
        <v>12</v>
      </c>
      <c r="J225" t="s">
        <v>33</v>
      </c>
      <c r="K225" t="s">
        <v>16</v>
      </c>
      <c r="L225" t="s">
        <v>16</v>
      </c>
    </row>
    <row r="226" spans="1:12" x14ac:dyDescent="0.3">
      <c r="A226">
        <v>2225</v>
      </c>
      <c r="B226">
        <v>26</v>
      </c>
      <c r="C226" t="s">
        <v>34</v>
      </c>
      <c r="D226" t="s">
        <v>19</v>
      </c>
      <c r="E226" t="s">
        <v>45</v>
      </c>
      <c r="F226">
        <v>14</v>
      </c>
      <c r="G226">
        <v>0</v>
      </c>
      <c r="H226" t="s">
        <v>16</v>
      </c>
      <c r="I226">
        <v>6</v>
      </c>
      <c r="J226" t="s">
        <v>33</v>
      </c>
      <c r="K226" t="s">
        <v>14</v>
      </c>
      <c r="L226" t="s">
        <v>16</v>
      </c>
    </row>
    <row r="227" spans="1:12" x14ac:dyDescent="0.3">
      <c r="A227">
        <v>2226</v>
      </c>
      <c r="B227">
        <v>76</v>
      </c>
      <c r="C227" t="s">
        <v>34</v>
      </c>
      <c r="D227" t="s">
        <v>13</v>
      </c>
      <c r="E227" t="s">
        <v>32</v>
      </c>
      <c r="F227">
        <v>14</v>
      </c>
      <c r="G227">
        <v>0</v>
      </c>
      <c r="H227" t="s">
        <v>14</v>
      </c>
      <c r="I227">
        <v>11</v>
      </c>
      <c r="J227" t="s">
        <v>48</v>
      </c>
      <c r="K227" t="s">
        <v>14</v>
      </c>
      <c r="L227" t="s">
        <v>14</v>
      </c>
    </row>
    <row r="228" spans="1:12" x14ac:dyDescent="0.3">
      <c r="A228">
        <v>2227</v>
      </c>
      <c r="B228">
        <v>29</v>
      </c>
      <c r="C228" t="s">
        <v>38</v>
      </c>
      <c r="D228" t="s">
        <v>13</v>
      </c>
      <c r="E228" t="s">
        <v>35</v>
      </c>
      <c r="F228">
        <v>13</v>
      </c>
      <c r="G228">
        <v>1</v>
      </c>
      <c r="H228" t="s">
        <v>16</v>
      </c>
      <c r="I228">
        <v>8</v>
      </c>
      <c r="J228" t="s">
        <v>33</v>
      </c>
      <c r="K228" t="s">
        <v>16</v>
      </c>
      <c r="L228" t="s">
        <v>16</v>
      </c>
    </row>
    <row r="229" spans="1:12" x14ac:dyDescent="0.3">
      <c r="A229">
        <v>2228</v>
      </c>
      <c r="B229">
        <v>39</v>
      </c>
      <c r="C229" t="s">
        <v>38</v>
      </c>
      <c r="D229" t="s">
        <v>15</v>
      </c>
      <c r="E229" t="s">
        <v>40</v>
      </c>
      <c r="F229">
        <v>13</v>
      </c>
      <c r="G229">
        <v>0</v>
      </c>
      <c r="H229" t="s">
        <v>16</v>
      </c>
      <c r="I229">
        <v>9</v>
      </c>
      <c r="J229" t="s">
        <v>33</v>
      </c>
      <c r="K229" t="s">
        <v>14</v>
      </c>
      <c r="L229" t="s">
        <v>16</v>
      </c>
    </row>
    <row r="230" spans="1:12" x14ac:dyDescent="0.3">
      <c r="A230">
        <v>2229</v>
      </c>
      <c r="B230">
        <v>52</v>
      </c>
      <c r="C230" t="s">
        <v>34</v>
      </c>
      <c r="D230" t="s">
        <v>18</v>
      </c>
      <c r="E230" t="s">
        <v>51</v>
      </c>
      <c r="F230">
        <v>9</v>
      </c>
      <c r="G230">
        <v>0</v>
      </c>
      <c r="H230" t="s">
        <v>16</v>
      </c>
      <c r="I230">
        <v>7</v>
      </c>
      <c r="J230" t="s">
        <v>33</v>
      </c>
      <c r="K230" t="s">
        <v>16</v>
      </c>
      <c r="L230" t="s">
        <v>16</v>
      </c>
    </row>
    <row r="231" spans="1:12" x14ac:dyDescent="0.3">
      <c r="A231">
        <v>2230</v>
      </c>
      <c r="B231">
        <v>42</v>
      </c>
      <c r="C231" t="s">
        <v>34</v>
      </c>
      <c r="D231" t="s">
        <v>15</v>
      </c>
      <c r="E231" t="s">
        <v>40</v>
      </c>
      <c r="F231">
        <v>10</v>
      </c>
      <c r="G231">
        <v>2</v>
      </c>
      <c r="H231" t="s">
        <v>14</v>
      </c>
      <c r="I231">
        <v>11</v>
      </c>
      <c r="J231" t="s">
        <v>33</v>
      </c>
      <c r="K231" t="s">
        <v>14</v>
      </c>
      <c r="L231" t="s">
        <v>14</v>
      </c>
    </row>
    <row r="232" spans="1:12" x14ac:dyDescent="0.3">
      <c r="A232">
        <v>2231</v>
      </c>
      <c r="B232">
        <v>67</v>
      </c>
      <c r="C232" t="s">
        <v>34</v>
      </c>
      <c r="D232" t="s">
        <v>19</v>
      </c>
      <c r="E232" t="s">
        <v>41</v>
      </c>
      <c r="F232">
        <v>2</v>
      </c>
      <c r="G232">
        <v>0</v>
      </c>
      <c r="H232" t="s">
        <v>14</v>
      </c>
      <c r="I232">
        <v>2</v>
      </c>
      <c r="J232" t="s">
        <v>36</v>
      </c>
      <c r="K232" t="s">
        <v>16</v>
      </c>
      <c r="L232" t="s">
        <v>14</v>
      </c>
    </row>
    <row r="233" spans="1:12" x14ac:dyDescent="0.3">
      <c r="A233">
        <v>2232</v>
      </c>
      <c r="B233">
        <v>85</v>
      </c>
      <c r="C233" t="s">
        <v>38</v>
      </c>
      <c r="D233" t="s">
        <v>18</v>
      </c>
      <c r="E233" t="s">
        <v>52</v>
      </c>
      <c r="F233">
        <v>14</v>
      </c>
      <c r="G233">
        <v>0</v>
      </c>
      <c r="H233" t="s">
        <v>16</v>
      </c>
      <c r="I233">
        <v>8</v>
      </c>
      <c r="J233" t="s">
        <v>44</v>
      </c>
      <c r="K233" t="s">
        <v>16</v>
      </c>
      <c r="L233" t="s">
        <v>16</v>
      </c>
    </row>
    <row r="234" spans="1:12" x14ac:dyDescent="0.3">
      <c r="A234">
        <v>2233</v>
      </c>
      <c r="B234">
        <v>34</v>
      </c>
      <c r="C234" t="s">
        <v>38</v>
      </c>
      <c r="D234" t="s">
        <v>15</v>
      </c>
      <c r="E234" t="s">
        <v>37</v>
      </c>
      <c r="F234">
        <v>3</v>
      </c>
      <c r="G234">
        <v>0</v>
      </c>
      <c r="H234" t="s">
        <v>16</v>
      </c>
      <c r="I234">
        <v>9</v>
      </c>
      <c r="J234" t="s">
        <v>33</v>
      </c>
      <c r="K234" t="s">
        <v>14</v>
      </c>
      <c r="L234" t="s">
        <v>16</v>
      </c>
    </row>
    <row r="235" spans="1:12" x14ac:dyDescent="0.3">
      <c r="A235">
        <v>2234</v>
      </c>
      <c r="B235">
        <v>75</v>
      </c>
      <c r="C235" t="s">
        <v>34</v>
      </c>
      <c r="D235" t="s">
        <v>13</v>
      </c>
      <c r="E235" t="s">
        <v>32</v>
      </c>
      <c r="F235">
        <v>3</v>
      </c>
      <c r="G235">
        <v>0</v>
      </c>
      <c r="H235" t="s">
        <v>16</v>
      </c>
      <c r="I235">
        <v>10</v>
      </c>
      <c r="J235" t="s">
        <v>33</v>
      </c>
      <c r="K235" t="s">
        <v>14</v>
      </c>
      <c r="L235" t="s">
        <v>16</v>
      </c>
    </row>
    <row r="236" spans="1:12" x14ac:dyDescent="0.3">
      <c r="A236">
        <v>2235</v>
      </c>
      <c r="B236">
        <v>28</v>
      </c>
      <c r="C236" t="s">
        <v>34</v>
      </c>
      <c r="D236" t="s">
        <v>18</v>
      </c>
      <c r="E236" t="s">
        <v>51</v>
      </c>
      <c r="F236">
        <v>10</v>
      </c>
      <c r="G236">
        <v>1</v>
      </c>
      <c r="H236" t="s">
        <v>14</v>
      </c>
      <c r="I236">
        <v>14</v>
      </c>
      <c r="J236" t="s">
        <v>36</v>
      </c>
      <c r="K236" t="s">
        <v>16</v>
      </c>
      <c r="L236" t="s">
        <v>14</v>
      </c>
    </row>
    <row r="237" spans="1:12" x14ac:dyDescent="0.3">
      <c r="A237">
        <v>2236</v>
      </c>
      <c r="B237">
        <v>58</v>
      </c>
      <c r="C237" t="s">
        <v>38</v>
      </c>
      <c r="D237" t="s">
        <v>15</v>
      </c>
      <c r="E237" t="s">
        <v>40</v>
      </c>
      <c r="F237">
        <v>13</v>
      </c>
      <c r="G237">
        <v>1</v>
      </c>
      <c r="H237" t="s">
        <v>16</v>
      </c>
      <c r="I237">
        <v>2</v>
      </c>
      <c r="J237" t="s">
        <v>33</v>
      </c>
      <c r="K237" t="s">
        <v>14</v>
      </c>
      <c r="L237" t="s">
        <v>16</v>
      </c>
    </row>
    <row r="238" spans="1:12" x14ac:dyDescent="0.3">
      <c r="A238">
        <v>2237</v>
      </c>
      <c r="B238">
        <v>38</v>
      </c>
      <c r="C238" t="s">
        <v>31</v>
      </c>
      <c r="D238" t="s">
        <v>47</v>
      </c>
      <c r="E238" t="s">
        <v>32</v>
      </c>
      <c r="F238">
        <v>7</v>
      </c>
      <c r="G238">
        <v>1</v>
      </c>
      <c r="H238" t="s">
        <v>16</v>
      </c>
      <c r="I238">
        <v>13</v>
      </c>
      <c r="J238" t="s">
        <v>48</v>
      </c>
      <c r="K238" t="s">
        <v>14</v>
      </c>
      <c r="L238" t="s">
        <v>16</v>
      </c>
    </row>
    <row r="239" spans="1:12" x14ac:dyDescent="0.3">
      <c r="A239">
        <v>2238</v>
      </c>
      <c r="B239">
        <v>59</v>
      </c>
      <c r="C239" t="s">
        <v>34</v>
      </c>
      <c r="D239" t="s">
        <v>17</v>
      </c>
      <c r="E239" t="s">
        <v>42</v>
      </c>
      <c r="F239">
        <v>7</v>
      </c>
      <c r="G239">
        <v>1</v>
      </c>
      <c r="H239" t="s">
        <v>16</v>
      </c>
      <c r="J239" t="s">
        <v>33</v>
      </c>
      <c r="K239" t="s">
        <v>14</v>
      </c>
      <c r="L239" t="s">
        <v>16</v>
      </c>
    </row>
    <row r="240" spans="1:12" x14ac:dyDescent="0.3">
      <c r="A240">
        <v>2239</v>
      </c>
      <c r="B240">
        <v>60</v>
      </c>
      <c r="C240" t="s">
        <v>38</v>
      </c>
      <c r="D240" t="s">
        <v>13</v>
      </c>
      <c r="E240" t="s">
        <v>35</v>
      </c>
      <c r="F240">
        <v>8</v>
      </c>
      <c r="G240">
        <v>2</v>
      </c>
      <c r="H240" t="s">
        <v>14</v>
      </c>
      <c r="I240">
        <v>3</v>
      </c>
      <c r="J240" t="s">
        <v>33</v>
      </c>
      <c r="K240" t="s">
        <v>14</v>
      </c>
      <c r="L240" t="s">
        <v>16</v>
      </c>
    </row>
    <row r="241" spans="1:12" x14ac:dyDescent="0.3">
      <c r="A241">
        <v>2240</v>
      </c>
      <c r="B241">
        <v>41</v>
      </c>
      <c r="C241" t="s">
        <v>34</v>
      </c>
      <c r="D241" t="s">
        <v>13</v>
      </c>
      <c r="E241" t="s">
        <v>35</v>
      </c>
      <c r="F241">
        <v>3</v>
      </c>
      <c r="G241">
        <v>0</v>
      </c>
      <c r="H241" t="s">
        <v>16</v>
      </c>
      <c r="I241">
        <v>7</v>
      </c>
      <c r="J241" t="s">
        <v>33</v>
      </c>
      <c r="K241" t="s">
        <v>14</v>
      </c>
      <c r="L241" t="s">
        <v>16</v>
      </c>
    </row>
    <row r="242" spans="1:12" x14ac:dyDescent="0.3">
      <c r="A242">
        <v>2241</v>
      </c>
      <c r="B242">
        <v>84</v>
      </c>
      <c r="C242" t="s">
        <v>34</v>
      </c>
      <c r="D242" t="s">
        <v>17</v>
      </c>
      <c r="E242" t="s">
        <v>53</v>
      </c>
      <c r="F242">
        <v>11</v>
      </c>
      <c r="G242">
        <v>3</v>
      </c>
      <c r="H242" t="s">
        <v>14</v>
      </c>
      <c r="I242">
        <v>11</v>
      </c>
      <c r="J242" t="s">
        <v>36</v>
      </c>
      <c r="K242" t="s">
        <v>14</v>
      </c>
      <c r="L242" t="s">
        <v>14</v>
      </c>
    </row>
    <row r="243" spans="1:12" x14ac:dyDescent="0.3">
      <c r="A243">
        <v>2242</v>
      </c>
      <c r="B243">
        <v>73</v>
      </c>
      <c r="C243" t="s">
        <v>34</v>
      </c>
      <c r="D243" t="s">
        <v>17</v>
      </c>
      <c r="E243" t="s">
        <v>42</v>
      </c>
      <c r="F243">
        <v>11</v>
      </c>
      <c r="G243">
        <v>2</v>
      </c>
      <c r="H243" t="s">
        <v>16</v>
      </c>
      <c r="I243">
        <v>5</v>
      </c>
      <c r="J243" t="s">
        <v>33</v>
      </c>
      <c r="K243" t="s">
        <v>14</v>
      </c>
      <c r="L243" t="s">
        <v>16</v>
      </c>
    </row>
    <row r="244" spans="1:12" x14ac:dyDescent="0.3">
      <c r="A244">
        <v>2243</v>
      </c>
      <c r="B244">
        <v>88</v>
      </c>
      <c r="C244" t="s">
        <v>34</v>
      </c>
      <c r="D244" t="s">
        <v>17</v>
      </c>
      <c r="E244" t="s">
        <v>53</v>
      </c>
      <c r="F244">
        <v>8</v>
      </c>
      <c r="G244">
        <v>2</v>
      </c>
      <c r="H244" t="s">
        <v>16</v>
      </c>
      <c r="I244">
        <v>11</v>
      </c>
      <c r="J244" t="s">
        <v>33</v>
      </c>
      <c r="K244" t="s">
        <v>16</v>
      </c>
      <c r="L244" t="s">
        <v>14</v>
      </c>
    </row>
    <row r="245" spans="1:12" x14ac:dyDescent="0.3">
      <c r="A245">
        <v>2244</v>
      </c>
      <c r="B245">
        <v>57</v>
      </c>
      <c r="C245" t="s">
        <v>34</v>
      </c>
      <c r="D245" t="s">
        <v>17</v>
      </c>
      <c r="E245" t="s">
        <v>49</v>
      </c>
      <c r="F245">
        <v>13</v>
      </c>
      <c r="G245">
        <v>3</v>
      </c>
      <c r="H245" t="s">
        <v>16</v>
      </c>
      <c r="I245">
        <v>12</v>
      </c>
      <c r="J245" t="s">
        <v>33</v>
      </c>
      <c r="K245" t="s">
        <v>14</v>
      </c>
      <c r="L245" t="s">
        <v>16</v>
      </c>
    </row>
    <row r="246" spans="1:12" x14ac:dyDescent="0.3">
      <c r="A246">
        <v>2245</v>
      </c>
      <c r="B246">
        <v>63</v>
      </c>
      <c r="C246" t="s">
        <v>34</v>
      </c>
      <c r="D246" t="s">
        <v>15</v>
      </c>
      <c r="E246" t="s">
        <v>37</v>
      </c>
      <c r="F246">
        <v>7</v>
      </c>
      <c r="G246">
        <v>1</v>
      </c>
      <c r="H246" t="s">
        <v>16</v>
      </c>
      <c r="I246">
        <v>1</v>
      </c>
      <c r="J246" t="s">
        <v>44</v>
      </c>
      <c r="K246" t="s">
        <v>14</v>
      </c>
      <c r="L246" t="s">
        <v>16</v>
      </c>
    </row>
    <row r="247" spans="1:12" x14ac:dyDescent="0.3">
      <c r="A247">
        <v>2246</v>
      </c>
      <c r="B247">
        <v>76</v>
      </c>
      <c r="C247" t="s">
        <v>38</v>
      </c>
      <c r="D247" t="s">
        <v>15</v>
      </c>
      <c r="E247" t="s">
        <v>39</v>
      </c>
      <c r="F247">
        <v>13</v>
      </c>
      <c r="G247">
        <v>0</v>
      </c>
      <c r="H247" t="s">
        <v>14</v>
      </c>
      <c r="I247">
        <v>1</v>
      </c>
      <c r="J247" t="s">
        <v>33</v>
      </c>
      <c r="K247" t="s">
        <v>16</v>
      </c>
      <c r="L247" t="s">
        <v>14</v>
      </c>
    </row>
    <row r="248" spans="1:12" x14ac:dyDescent="0.3">
      <c r="A248">
        <v>2247</v>
      </c>
      <c r="B248">
        <v>87</v>
      </c>
      <c r="C248" t="s">
        <v>34</v>
      </c>
      <c r="D248" t="s">
        <v>18</v>
      </c>
      <c r="E248" t="s">
        <v>50</v>
      </c>
      <c r="F248">
        <v>11</v>
      </c>
      <c r="G248">
        <v>1</v>
      </c>
      <c r="H248" t="s">
        <v>16</v>
      </c>
      <c r="I248">
        <v>14</v>
      </c>
      <c r="J248" t="s">
        <v>36</v>
      </c>
      <c r="K248" t="s">
        <v>14</v>
      </c>
      <c r="L248" t="s">
        <v>16</v>
      </c>
    </row>
    <row r="249" spans="1:12" x14ac:dyDescent="0.3">
      <c r="A249">
        <v>2248</v>
      </c>
      <c r="B249">
        <v>50</v>
      </c>
      <c r="C249" t="s">
        <v>38</v>
      </c>
      <c r="D249" t="s">
        <v>17</v>
      </c>
      <c r="E249" t="s">
        <v>42</v>
      </c>
      <c r="F249">
        <v>9</v>
      </c>
      <c r="G249">
        <v>2</v>
      </c>
      <c r="H249" t="s">
        <v>16</v>
      </c>
      <c r="I249">
        <v>9</v>
      </c>
      <c r="J249" t="s">
        <v>44</v>
      </c>
      <c r="K249" t="s">
        <v>14</v>
      </c>
      <c r="L249" t="s">
        <v>16</v>
      </c>
    </row>
    <row r="250" spans="1:12" x14ac:dyDescent="0.3">
      <c r="A250">
        <v>2249</v>
      </c>
      <c r="B250">
        <v>69</v>
      </c>
      <c r="C250" t="s">
        <v>38</v>
      </c>
      <c r="D250" t="s">
        <v>19</v>
      </c>
      <c r="E250" t="s">
        <v>45</v>
      </c>
      <c r="F250">
        <v>4</v>
      </c>
      <c r="G250">
        <v>2</v>
      </c>
      <c r="H250" t="s">
        <v>14</v>
      </c>
      <c r="I250">
        <v>2</v>
      </c>
      <c r="J250" t="s">
        <v>48</v>
      </c>
      <c r="K250" t="s">
        <v>14</v>
      </c>
      <c r="L250" t="s">
        <v>16</v>
      </c>
    </row>
    <row r="251" spans="1:12" x14ac:dyDescent="0.3">
      <c r="A251">
        <v>2250</v>
      </c>
      <c r="B251">
        <v>27</v>
      </c>
      <c r="C251" t="s">
        <v>34</v>
      </c>
      <c r="D251" t="s">
        <v>13</v>
      </c>
      <c r="E251" t="s">
        <v>32</v>
      </c>
      <c r="F251">
        <v>14</v>
      </c>
      <c r="G251">
        <v>2</v>
      </c>
      <c r="H251" t="s">
        <v>16</v>
      </c>
      <c r="I251">
        <v>6</v>
      </c>
      <c r="J251" t="s">
        <v>33</v>
      </c>
      <c r="K251" t="s">
        <v>14</v>
      </c>
      <c r="L251" t="s">
        <v>16</v>
      </c>
    </row>
    <row r="252" spans="1:12" x14ac:dyDescent="0.3">
      <c r="A252">
        <v>2251</v>
      </c>
      <c r="B252">
        <v>87</v>
      </c>
      <c r="C252" t="s">
        <v>38</v>
      </c>
      <c r="D252" t="s">
        <v>19</v>
      </c>
      <c r="E252" t="s">
        <v>45</v>
      </c>
      <c r="F252">
        <v>14</v>
      </c>
      <c r="G252">
        <v>1</v>
      </c>
      <c r="H252" t="s">
        <v>16</v>
      </c>
      <c r="I252">
        <v>4</v>
      </c>
      <c r="J252" t="s">
        <v>33</v>
      </c>
      <c r="K252" t="s">
        <v>14</v>
      </c>
      <c r="L252" t="s">
        <v>16</v>
      </c>
    </row>
    <row r="253" spans="1:12" x14ac:dyDescent="0.3">
      <c r="A253">
        <v>2252</v>
      </c>
      <c r="B253">
        <v>88</v>
      </c>
      <c r="C253" t="s">
        <v>38</v>
      </c>
      <c r="D253" t="s">
        <v>19</v>
      </c>
      <c r="E253" t="s">
        <v>45</v>
      </c>
      <c r="F253">
        <v>4</v>
      </c>
      <c r="G253">
        <v>0</v>
      </c>
      <c r="H253" t="s">
        <v>14</v>
      </c>
      <c r="I253">
        <v>2</v>
      </c>
      <c r="J253" t="s">
        <v>44</v>
      </c>
      <c r="K253" t="s">
        <v>14</v>
      </c>
      <c r="L253" t="s">
        <v>16</v>
      </c>
    </row>
    <row r="254" spans="1:12" x14ac:dyDescent="0.3">
      <c r="A254">
        <v>2253</v>
      </c>
      <c r="B254">
        <v>50</v>
      </c>
      <c r="C254" t="s">
        <v>38</v>
      </c>
      <c r="D254" t="s">
        <v>19</v>
      </c>
      <c r="E254" t="s">
        <v>45</v>
      </c>
      <c r="F254">
        <v>8</v>
      </c>
      <c r="G254">
        <v>2</v>
      </c>
      <c r="H254" t="s">
        <v>16</v>
      </c>
      <c r="I254">
        <v>10</v>
      </c>
      <c r="J254" t="s">
        <v>44</v>
      </c>
      <c r="K254" t="s">
        <v>16</v>
      </c>
      <c r="L254" t="s">
        <v>16</v>
      </c>
    </row>
    <row r="255" spans="1:12" x14ac:dyDescent="0.3">
      <c r="A255">
        <v>2254</v>
      </c>
      <c r="B255">
        <v>39</v>
      </c>
      <c r="C255" t="s">
        <v>38</v>
      </c>
      <c r="D255" t="s">
        <v>13</v>
      </c>
      <c r="E255" t="s">
        <v>43</v>
      </c>
      <c r="F255">
        <v>10</v>
      </c>
      <c r="G255">
        <v>1</v>
      </c>
      <c r="H255" t="s">
        <v>16</v>
      </c>
      <c r="I255">
        <v>12</v>
      </c>
      <c r="J255" t="s">
        <v>33</v>
      </c>
      <c r="K255" t="s">
        <v>14</v>
      </c>
      <c r="L255" t="s">
        <v>16</v>
      </c>
    </row>
    <row r="256" spans="1:12" x14ac:dyDescent="0.3">
      <c r="A256">
        <v>2255</v>
      </c>
      <c r="B256">
        <v>87</v>
      </c>
      <c r="C256" t="s">
        <v>34</v>
      </c>
      <c r="D256" t="s">
        <v>13</v>
      </c>
      <c r="E256" t="s">
        <v>43</v>
      </c>
      <c r="F256">
        <v>9</v>
      </c>
      <c r="G256">
        <v>1</v>
      </c>
      <c r="H256" t="s">
        <v>14</v>
      </c>
      <c r="I256">
        <v>12</v>
      </c>
      <c r="J256" t="s">
        <v>44</v>
      </c>
      <c r="K256" t="s">
        <v>16</v>
      </c>
      <c r="L256" t="s">
        <v>14</v>
      </c>
    </row>
    <row r="257" spans="1:12" x14ac:dyDescent="0.3">
      <c r="A257">
        <v>2256</v>
      </c>
      <c r="B257">
        <v>72</v>
      </c>
      <c r="C257" t="s">
        <v>34</v>
      </c>
      <c r="D257" t="s">
        <v>13</v>
      </c>
      <c r="E257" t="s">
        <v>32</v>
      </c>
      <c r="F257">
        <v>10</v>
      </c>
      <c r="G257">
        <v>2</v>
      </c>
      <c r="H257" t="s">
        <v>14</v>
      </c>
      <c r="I257">
        <v>1</v>
      </c>
      <c r="J257" t="s">
        <v>33</v>
      </c>
      <c r="K257" t="s">
        <v>14</v>
      </c>
      <c r="L257" t="s">
        <v>16</v>
      </c>
    </row>
    <row r="258" spans="1:12" x14ac:dyDescent="0.3">
      <c r="A258">
        <v>2257</v>
      </c>
      <c r="B258">
        <v>78</v>
      </c>
      <c r="C258" t="s">
        <v>38</v>
      </c>
      <c r="D258" t="s">
        <v>13</v>
      </c>
      <c r="E258" t="s">
        <v>32</v>
      </c>
      <c r="F258">
        <v>4</v>
      </c>
      <c r="G258">
        <v>1</v>
      </c>
      <c r="H258" t="s">
        <v>16</v>
      </c>
      <c r="I258">
        <v>5</v>
      </c>
      <c r="J258" t="s">
        <v>33</v>
      </c>
      <c r="K258" t="s">
        <v>14</v>
      </c>
      <c r="L258" t="s">
        <v>16</v>
      </c>
    </row>
    <row r="259" spans="1:12" x14ac:dyDescent="0.3">
      <c r="A259">
        <v>2258</v>
      </c>
      <c r="B259">
        <v>21</v>
      </c>
      <c r="C259" t="s">
        <v>38</v>
      </c>
      <c r="D259" t="s">
        <v>19</v>
      </c>
      <c r="E259" t="s">
        <v>45</v>
      </c>
      <c r="F259">
        <v>6</v>
      </c>
      <c r="G259">
        <v>2</v>
      </c>
      <c r="H259" t="s">
        <v>14</v>
      </c>
      <c r="I259">
        <v>9</v>
      </c>
      <c r="J259" t="s">
        <v>44</v>
      </c>
      <c r="K259" t="s">
        <v>16</v>
      </c>
      <c r="L259" t="s">
        <v>14</v>
      </c>
    </row>
    <row r="260" spans="1:12" x14ac:dyDescent="0.3">
      <c r="A260">
        <v>2259</v>
      </c>
      <c r="B260">
        <v>76</v>
      </c>
      <c r="C260" t="s">
        <v>34</v>
      </c>
      <c r="D260" t="s">
        <v>13</v>
      </c>
      <c r="E260" t="s">
        <v>43</v>
      </c>
      <c r="F260">
        <v>7</v>
      </c>
      <c r="G260">
        <v>1</v>
      </c>
      <c r="H260" t="s">
        <v>16</v>
      </c>
      <c r="I260">
        <v>9</v>
      </c>
      <c r="J260" t="s">
        <v>33</v>
      </c>
      <c r="K260" t="s">
        <v>14</v>
      </c>
      <c r="L260" t="s">
        <v>16</v>
      </c>
    </row>
    <row r="261" spans="1:12" x14ac:dyDescent="0.3">
      <c r="A261">
        <v>2260</v>
      </c>
      <c r="B261">
        <v>53</v>
      </c>
      <c r="C261" t="s">
        <v>38</v>
      </c>
      <c r="D261" t="s">
        <v>17</v>
      </c>
      <c r="E261" t="s">
        <v>49</v>
      </c>
      <c r="F261">
        <v>1</v>
      </c>
      <c r="G261">
        <v>0</v>
      </c>
      <c r="H261" t="s">
        <v>14</v>
      </c>
      <c r="I261">
        <v>11</v>
      </c>
      <c r="J261" t="s">
        <v>33</v>
      </c>
      <c r="K261" t="s">
        <v>16</v>
      </c>
      <c r="L261" t="s">
        <v>16</v>
      </c>
    </row>
    <row r="262" spans="1:12" x14ac:dyDescent="0.3">
      <c r="A262">
        <v>2261</v>
      </c>
      <c r="B262">
        <v>49</v>
      </c>
      <c r="C262" t="s">
        <v>38</v>
      </c>
      <c r="D262" t="s">
        <v>18</v>
      </c>
      <c r="E262" t="s">
        <v>50</v>
      </c>
      <c r="F262">
        <v>14</v>
      </c>
      <c r="G262">
        <v>2</v>
      </c>
      <c r="H262" t="s">
        <v>16</v>
      </c>
      <c r="I262">
        <v>12</v>
      </c>
      <c r="J262" t="s">
        <v>48</v>
      </c>
      <c r="K262" t="s">
        <v>14</v>
      </c>
      <c r="L262" t="s">
        <v>16</v>
      </c>
    </row>
    <row r="263" spans="1:12" x14ac:dyDescent="0.3">
      <c r="A263">
        <v>2262</v>
      </c>
      <c r="B263">
        <v>32</v>
      </c>
      <c r="C263" t="s">
        <v>38</v>
      </c>
      <c r="D263" t="s">
        <v>18</v>
      </c>
      <c r="E263" t="s">
        <v>50</v>
      </c>
      <c r="F263">
        <v>13</v>
      </c>
      <c r="G263">
        <v>0</v>
      </c>
      <c r="H263" t="s">
        <v>16</v>
      </c>
      <c r="I263">
        <v>3</v>
      </c>
      <c r="J263" t="s">
        <v>33</v>
      </c>
      <c r="K263" t="s">
        <v>16</v>
      </c>
      <c r="L263" t="s">
        <v>16</v>
      </c>
    </row>
    <row r="264" spans="1:12" x14ac:dyDescent="0.3">
      <c r="A264">
        <v>2263</v>
      </c>
      <c r="B264">
        <v>84</v>
      </c>
      <c r="C264" t="s">
        <v>38</v>
      </c>
      <c r="D264" t="s">
        <v>15</v>
      </c>
      <c r="E264" t="s">
        <v>37</v>
      </c>
      <c r="F264">
        <v>12</v>
      </c>
      <c r="G264">
        <v>1</v>
      </c>
      <c r="H264" t="s">
        <v>14</v>
      </c>
      <c r="I264">
        <v>2</v>
      </c>
      <c r="J264" t="s">
        <v>33</v>
      </c>
      <c r="K264" t="s">
        <v>14</v>
      </c>
      <c r="L264" t="s">
        <v>16</v>
      </c>
    </row>
    <row r="265" spans="1:12" x14ac:dyDescent="0.3">
      <c r="A265">
        <v>2264</v>
      </c>
      <c r="B265">
        <v>71</v>
      </c>
      <c r="C265" t="s">
        <v>34</v>
      </c>
      <c r="D265" t="s">
        <v>18</v>
      </c>
      <c r="E265" t="s">
        <v>51</v>
      </c>
      <c r="F265">
        <v>4</v>
      </c>
      <c r="G265">
        <v>2</v>
      </c>
      <c r="H265" t="s">
        <v>14</v>
      </c>
      <c r="I265">
        <v>7</v>
      </c>
      <c r="J265" t="s">
        <v>36</v>
      </c>
      <c r="K265" t="s">
        <v>14</v>
      </c>
      <c r="L265" t="s">
        <v>14</v>
      </c>
    </row>
    <row r="266" spans="1:12" x14ac:dyDescent="0.3">
      <c r="A266">
        <v>2265</v>
      </c>
      <c r="B266">
        <v>34</v>
      </c>
      <c r="C266" t="s">
        <v>34</v>
      </c>
      <c r="D266" t="s">
        <v>18</v>
      </c>
      <c r="E266" t="s">
        <v>51</v>
      </c>
      <c r="F266">
        <v>14</v>
      </c>
      <c r="G266">
        <v>3</v>
      </c>
      <c r="H266" t="s">
        <v>16</v>
      </c>
      <c r="I266">
        <v>1</v>
      </c>
      <c r="J266" t="s">
        <v>48</v>
      </c>
      <c r="K266" t="s">
        <v>16</v>
      </c>
      <c r="L266" t="s">
        <v>14</v>
      </c>
    </row>
    <row r="267" spans="1:12" x14ac:dyDescent="0.3">
      <c r="A267">
        <v>2266</v>
      </c>
      <c r="B267">
        <v>62</v>
      </c>
      <c r="C267" t="s">
        <v>34</v>
      </c>
      <c r="D267" t="s">
        <v>15</v>
      </c>
      <c r="E267" t="s">
        <v>37</v>
      </c>
      <c r="F267">
        <v>6</v>
      </c>
      <c r="G267">
        <v>1</v>
      </c>
      <c r="H267" t="s">
        <v>16</v>
      </c>
      <c r="I267">
        <v>9</v>
      </c>
      <c r="J267" t="s">
        <v>44</v>
      </c>
      <c r="K267" t="s">
        <v>16</v>
      </c>
      <c r="L267" t="s">
        <v>16</v>
      </c>
    </row>
    <row r="268" spans="1:12" x14ac:dyDescent="0.3">
      <c r="A268">
        <v>2267</v>
      </c>
      <c r="B268">
        <v>89</v>
      </c>
      <c r="C268" t="s">
        <v>34</v>
      </c>
      <c r="D268" t="s">
        <v>15</v>
      </c>
      <c r="E268" t="s">
        <v>39</v>
      </c>
      <c r="F268">
        <v>6</v>
      </c>
      <c r="G268">
        <v>1</v>
      </c>
      <c r="H268" t="s">
        <v>16</v>
      </c>
      <c r="I268">
        <v>13</v>
      </c>
      <c r="J268" t="s">
        <v>33</v>
      </c>
      <c r="K268" t="s">
        <v>16</v>
      </c>
      <c r="L268" t="s">
        <v>16</v>
      </c>
    </row>
    <row r="269" spans="1:12" x14ac:dyDescent="0.3">
      <c r="A269">
        <v>2268</v>
      </c>
      <c r="B269">
        <v>42</v>
      </c>
      <c r="C269" t="s">
        <v>38</v>
      </c>
      <c r="D269" t="s">
        <v>18</v>
      </c>
      <c r="E269" t="s">
        <v>52</v>
      </c>
      <c r="F269">
        <v>9</v>
      </c>
      <c r="G269">
        <v>0</v>
      </c>
      <c r="H269" t="s">
        <v>14</v>
      </c>
      <c r="I269">
        <v>12</v>
      </c>
      <c r="J269" t="s">
        <v>36</v>
      </c>
      <c r="K269" t="s">
        <v>14</v>
      </c>
      <c r="L269" t="s">
        <v>16</v>
      </c>
    </row>
    <row r="270" spans="1:12" x14ac:dyDescent="0.3">
      <c r="A270">
        <v>2269</v>
      </c>
      <c r="B270">
        <v>80</v>
      </c>
      <c r="C270" t="s">
        <v>38</v>
      </c>
      <c r="D270" t="s">
        <v>15</v>
      </c>
      <c r="E270" t="s">
        <v>40</v>
      </c>
      <c r="F270">
        <v>13</v>
      </c>
      <c r="G270">
        <v>0</v>
      </c>
      <c r="H270" t="s">
        <v>16</v>
      </c>
      <c r="I270">
        <v>9</v>
      </c>
      <c r="J270" t="s">
        <v>44</v>
      </c>
      <c r="K270" t="s">
        <v>14</v>
      </c>
      <c r="L270" t="s">
        <v>16</v>
      </c>
    </row>
    <row r="271" spans="1:12" x14ac:dyDescent="0.3">
      <c r="A271">
        <v>2270</v>
      </c>
      <c r="B271">
        <v>85</v>
      </c>
      <c r="C271" t="s">
        <v>34</v>
      </c>
      <c r="D271" t="s">
        <v>18</v>
      </c>
      <c r="E271" t="s">
        <v>52</v>
      </c>
      <c r="F271">
        <v>7</v>
      </c>
      <c r="G271">
        <v>0</v>
      </c>
      <c r="H271" t="s">
        <v>14</v>
      </c>
      <c r="I271">
        <v>12</v>
      </c>
      <c r="J271" t="s">
        <v>33</v>
      </c>
      <c r="K271" t="s">
        <v>16</v>
      </c>
      <c r="L271" t="s">
        <v>14</v>
      </c>
    </row>
    <row r="272" spans="1:12" x14ac:dyDescent="0.3">
      <c r="A272">
        <v>2271</v>
      </c>
      <c r="B272">
        <v>80</v>
      </c>
      <c r="C272" t="s">
        <v>38</v>
      </c>
      <c r="D272" t="s">
        <v>19</v>
      </c>
      <c r="E272" t="s">
        <v>41</v>
      </c>
      <c r="F272">
        <v>4</v>
      </c>
      <c r="G272">
        <v>1</v>
      </c>
      <c r="H272" t="s">
        <v>16</v>
      </c>
      <c r="I272">
        <v>1</v>
      </c>
      <c r="J272" t="s">
        <v>44</v>
      </c>
      <c r="K272" t="s">
        <v>16</v>
      </c>
      <c r="L272" t="s">
        <v>16</v>
      </c>
    </row>
    <row r="273" spans="1:12" x14ac:dyDescent="0.3">
      <c r="A273">
        <v>2272</v>
      </c>
      <c r="B273">
        <v>74</v>
      </c>
      <c r="C273" t="s">
        <v>34</v>
      </c>
      <c r="D273" t="s">
        <v>15</v>
      </c>
      <c r="E273" t="s">
        <v>39</v>
      </c>
      <c r="F273">
        <v>9</v>
      </c>
      <c r="G273">
        <v>3</v>
      </c>
      <c r="H273" t="s">
        <v>16</v>
      </c>
      <c r="I273">
        <v>4</v>
      </c>
      <c r="J273" t="s">
        <v>44</v>
      </c>
      <c r="K273" t="s">
        <v>14</v>
      </c>
      <c r="L273" t="s">
        <v>16</v>
      </c>
    </row>
    <row r="274" spans="1:12" x14ac:dyDescent="0.3">
      <c r="A274">
        <v>2273</v>
      </c>
      <c r="B274">
        <v>32</v>
      </c>
      <c r="C274" t="s">
        <v>38</v>
      </c>
      <c r="D274" t="s">
        <v>15</v>
      </c>
      <c r="E274" t="s">
        <v>37</v>
      </c>
      <c r="F274">
        <v>11</v>
      </c>
      <c r="G274">
        <v>0</v>
      </c>
      <c r="H274" t="s">
        <v>14</v>
      </c>
      <c r="I274">
        <v>7</v>
      </c>
      <c r="J274" t="s">
        <v>48</v>
      </c>
      <c r="K274" t="s">
        <v>14</v>
      </c>
      <c r="L274" t="s">
        <v>16</v>
      </c>
    </row>
    <row r="275" spans="1:12" x14ac:dyDescent="0.3">
      <c r="A275">
        <v>2274</v>
      </c>
      <c r="B275">
        <v>38</v>
      </c>
      <c r="C275" t="s">
        <v>38</v>
      </c>
      <c r="D275" t="s">
        <v>19</v>
      </c>
      <c r="E275" t="s">
        <v>46</v>
      </c>
      <c r="F275">
        <v>2</v>
      </c>
      <c r="G275">
        <v>2</v>
      </c>
      <c r="H275" t="s">
        <v>14</v>
      </c>
      <c r="I275">
        <v>9</v>
      </c>
      <c r="J275" t="s">
        <v>33</v>
      </c>
      <c r="K275" t="s">
        <v>16</v>
      </c>
      <c r="L275" t="s">
        <v>16</v>
      </c>
    </row>
    <row r="276" spans="1:12" x14ac:dyDescent="0.3">
      <c r="A276">
        <v>2275</v>
      </c>
      <c r="B276">
        <v>53</v>
      </c>
      <c r="C276" t="s">
        <v>34</v>
      </c>
      <c r="D276" t="s">
        <v>15</v>
      </c>
      <c r="E276" t="s">
        <v>39</v>
      </c>
      <c r="F276">
        <v>12</v>
      </c>
      <c r="G276">
        <v>3</v>
      </c>
      <c r="H276" t="s">
        <v>14</v>
      </c>
      <c r="I276">
        <v>7</v>
      </c>
      <c r="J276" t="s">
        <v>33</v>
      </c>
      <c r="K276" t="s">
        <v>14</v>
      </c>
      <c r="L276" t="s">
        <v>16</v>
      </c>
    </row>
    <row r="277" spans="1:12" x14ac:dyDescent="0.3">
      <c r="A277">
        <v>2276</v>
      </c>
      <c r="B277">
        <v>64</v>
      </c>
      <c r="C277" t="s">
        <v>38</v>
      </c>
      <c r="D277" t="s">
        <v>15</v>
      </c>
      <c r="E277" t="s">
        <v>39</v>
      </c>
      <c r="F277">
        <v>12</v>
      </c>
      <c r="G277">
        <v>1</v>
      </c>
      <c r="H277" t="s">
        <v>14</v>
      </c>
      <c r="I277">
        <v>3</v>
      </c>
      <c r="J277" t="s">
        <v>36</v>
      </c>
      <c r="K277" t="s">
        <v>16</v>
      </c>
      <c r="L277" t="s">
        <v>16</v>
      </c>
    </row>
    <row r="278" spans="1:12" x14ac:dyDescent="0.3">
      <c r="A278">
        <v>2277</v>
      </c>
      <c r="B278">
        <v>33</v>
      </c>
      <c r="C278" t="s">
        <v>34</v>
      </c>
      <c r="D278" t="s">
        <v>15</v>
      </c>
      <c r="E278" t="s">
        <v>39</v>
      </c>
      <c r="F278">
        <v>12</v>
      </c>
      <c r="G278">
        <v>0</v>
      </c>
      <c r="H278" t="s">
        <v>16</v>
      </c>
      <c r="J278" t="s">
        <v>36</v>
      </c>
      <c r="K278" t="s">
        <v>14</v>
      </c>
      <c r="L278" t="s">
        <v>16</v>
      </c>
    </row>
    <row r="279" spans="1:12" x14ac:dyDescent="0.3">
      <c r="A279">
        <v>2278</v>
      </c>
      <c r="B279">
        <v>25</v>
      </c>
      <c r="C279" t="s">
        <v>38</v>
      </c>
      <c r="D279" t="s">
        <v>13</v>
      </c>
      <c r="E279" t="s">
        <v>43</v>
      </c>
      <c r="F279">
        <v>9</v>
      </c>
      <c r="G279">
        <v>0</v>
      </c>
      <c r="H279" t="s">
        <v>14</v>
      </c>
      <c r="I279">
        <v>12</v>
      </c>
      <c r="J279" t="s">
        <v>44</v>
      </c>
      <c r="K279" t="s">
        <v>14</v>
      </c>
      <c r="L279" t="s">
        <v>16</v>
      </c>
    </row>
    <row r="280" spans="1:12" x14ac:dyDescent="0.3">
      <c r="A280">
        <v>2279</v>
      </c>
      <c r="B280">
        <v>54</v>
      </c>
      <c r="C280" t="s">
        <v>38</v>
      </c>
      <c r="D280" t="s">
        <v>13</v>
      </c>
      <c r="E280" t="s">
        <v>43</v>
      </c>
      <c r="F280">
        <v>12</v>
      </c>
      <c r="G280">
        <v>1</v>
      </c>
      <c r="H280" t="s">
        <v>14</v>
      </c>
      <c r="I280">
        <v>9</v>
      </c>
      <c r="J280" t="s">
        <v>48</v>
      </c>
      <c r="K280" t="s">
        <v>16</v>
      </c>
      <c r="L280" t="s">
        <v>14</v>
      </c>
    </row>
    <row r="281" spans="1:12" x14ac:dyDescent="0.3">
      <c r="A281">
        <v>2280</v>
      </c>
      <c r="B281">
        <v>76</v>
      </c>
      <c r="C281" t="s">
        <v>34</v>
      </c>
      <c r="D281" t="s">
        <v>18</v>
      </c>
      <c r="E281" t="s">
        <v>52</v>
      </c>
      <c r="F281">
        <v>5</v>
      </c>
      <c r="G281">
        <v>1</v>
      </c>
      <c r="H281" t="s">
        <v>16</v>
      </c>
      <c r="I281">
        <v>1</v>
      </c>
      <c r="J281" t="s">
        <v>44</v>
      </c>
      <c r="K281" t="s">
        <v>16</v>
      </c>
      <c r="L281" t="s">
        <v>16</v>
      </c>
    </row>
    <row r="282" spans="1:12" x14ac:dyDescent="0.3">
      <c r="A282">
        <v>2281</v>
      </c>
      <c r="B282">
        <v>89</v>
      </c>
      <c r="C282" t="s">
        <v>34</v>
      </c>
      <c r="D282" t="s">
        <v>19</v>
      </c>
      <c r="E282" t="s">
        <v>45</v>
      </c>
      <c r="F282">
        <v>13</v>
      </c>
      <c r="G282">
        <v>4</v>
      </c>
      <c r="H282" t="s">
        <v>16</v>
      </c>
      <c r="I282">
        <v>13</v>
      </c>
      <c r="J282" t="s">
        <v>33</v>
      </c>
      <c r="K282" t="s">
        <v>14</v>
      </c>
      <c r="L282" t="s">
        <v>16</v>
      </c>
    </row>
    <row r="283" spans="1:12" x14ac:dyDescent="0.3">
      <c r="A283">
        <v>2282</v>
      </c>
      <c r="B283">
        <v>86</v>
      </c>
      <c r="C283" t="s">
        <v>34</v>
      </c>
      <c r="D283" t="s">
        <v>15</v>
      </c>
      <c r="E283" t="s">
        <v>39</v>
      </c>
      <c r="F283">
        <v>13</v>
      </c>
      <c r="G283">
        <v>3</v>
      </c>
      <c r="H283" t="s">
        <v>14</v>
      </c>
      <c r="I283">
        <v>10</v>
      </c>
      <c r="J283" t="s">
        <v>33</v>
      </c>
      <c r="K283" t="s">
        <v>14</v>
      </c>
      <c r="L283" t="s">
        <v>14</v>
      </c>
    </row>
    <row r="284" spans="1:12" x14ac:dyDescent="0.3">
      <c r="A284">
        <v>2283</v>
      </c>
      <c r="B284">
        <v>84</v>
      </c>
      <c r="C284" t="s">
        <v>38</v>
      </c>
      <c r="D284" t="s">
        <v>18</v>
      </c>
      <c r="E284" t="s">
        <v>52</v>
      </c>
      <c r="F284">
        <v>14</v>
      </c>
      <c r="G284">
        <v>0</v>
      </c>
      <c r="H284" t="s">
        <v>16</v>
      </c>
      <c r="I284">
        <v>13</v>
      </c>
      <c r="J284" t="s">
        <v>33</v>
      </c>
      <c r="K284" t="s">
        <v>16</v>
      </c>
      <c r="L284" t="s">
        <v>16</v>
      </c>
    </row>
    <row r="285" spans="1:12" x14ac:dyDescent="0.3">
      <c r="A285">
        <v>2284</v>
      </c>
      <c r="B285">
        <v>54</v>
      </c>
      <c r="C285" t="s">
        <v>34</v>
      </c>
      <c r="D285" t="s">
        <v>18</v>
      </c>
      <c r="E285" t="s">
        <v>52</v>
      </c>
      <c r="F285">
        <v>5</v>
      </c>
      <c r="G285">
        <v>1</v>
      </c>
      <c r="H285" t="s">
        <v>16</v>
      </c>
      <c r="I285">
        <v>3</v>
      </c>
      <c r="J285" t="s">
        <v>33</v>
      </c>
      <c r="K285" t="s">
        <v>16</v>
      </c>
      <c r="L285" t="s">
        <v>16</v>
      </c>
    </row>
    <row r="286" spans="1:12" x14ac:dyDescent="0.3">
      <c r="A286">
        <v>2285</v>
      </c>
      <c r="B286">
        <v>55</v>
      </c>
      <c r="C286" t="s">
        <v>31</v>
      </c>
      <c r="D286" t="s">
        <v>13</v>
      </c>
      <c r="E286" t="s">
        <v>35</v>
      </c>
      <c r="F286">
        <v>9</v>
      </c>
      <c r="G286">
        <v>2</v>
      </c>
      <c r="H286" t="s">
        <v>16</v>
      </c>
      <c r="I286">
        <v>1</v>
      </c>
      <c r="J286" t="s">
        <v>33</v>
      </c>
      <c r="K286" t="s">
        <v>16</v>
      </c>
      <c r="L286" t="s">
        <v>16</v>
      </c>
    </row>
    <row r="287" spans="1:12" x14ac:dyDescent="0.3">
      <c r="A287">
        <v>2286</v>
      </c>
      <c r="B287">
        <v>36</v>
      </c>
      <c r="C287" t="s">
        <v>38</v>
      </c>
      <c r="D287" t="s">
        <v>13</v>
      </c>
      <c r="E287" t="s">
        <v>32</v>
      </c>
      <c r="F287">
        <v>6</v>
      </c>
      <c r="G287">
        <v>3</v>
      </c>
      <c r="H287" t="s">
        <v>16</v>
      </c>
      <c r="I287">
        <v>11</v>
      </c>
      <c r="J287" t="s">
        <v>33</v>
      </c>
      <c r="K287" t="s">
        <v>16</v>
      </c>
      <c r="L287" t="s">
        <v>16</v>
      </c>
    </row>
    <row r="288" spans="1:12" x14ac:dyDescent="0.3">
      <c r="A288">
        <v>2287</v>
      </c>
      <c r="B288">
        <v>41</v>
      </c>
      <c r="C288" t="s">
        <v>38</v>
      </c>
      <c r="D288" t="s">
        <v>13</v>
      </c>
      <c r="E288" t="s">
        <v>43</v>
      </c>
      <c r="F288">
        <v>11</v>
      </c>
      <c r="G288">
        <v>1</v>
      </c>
      <c r="H288" t="s">
        <v>16</v>
      </c>
      <c r="I288">
        <v>6</v>
      </c>
      <c r="J288" t="s">
        <v>48</v>
      </c>
      <c r="K288" t="s">
        <v>14</v>
      </c>
      <c r="L288" t="s">
        <v>16</v>
      </c>
    </row>
    <row r="289" spans="1:12" x14ac:dyDescent="0.3">
      <c r="A289">
        <v>2288</v>
      </c>
      <c r="B289">
        <v>28</v>
      </c>
      <c r="C289" t="s">
        <v>34</v>
      </c>
      <c r="D289" t="s">
        <v>17</v>
      </c>
      <c r="E289" t="s">
        <v>53</v>
      </c>
      <c r="F289">
        <v>2</v>
      </c>
      <c r="G289">
        <v>2</v>
      </c>
      <c r="H289" t="s">
        <v>14</v>
      </c>
      <c r="I289">
        <v>12</v>
      </c>
      <c r="J289" t="s">
        <v>44</v>
      </c>
      <c r="K289" t="s">
        <v>14</v>
      </c>
      <c r="L289" t="s">
        <v>16</v>
      </c>
    </row>
    <row r="290" spans="1:12" x14ac:dyDescent="0.3">
      <c r="A290">
        <v>2289</v>
      </c>
      <c r="B290">
        <v>29</v>
      </c>
      <c r="C290" t="s">
        <v>38</v>
      </c>
      <c r="D290" t="s">
        <v>19</v>
      </c>
      <c r="E290" t="s">
        <v>45</v>
      </c>
      <c r="F290">
        <v>11</v>
      </c>
      <c r="G290">
        <v>0</v>
      </c>
      <c r="H290" t="s">
        <v>16</v>
      </c>
      <c r="I290">
        <v>3</v>
      </c>
      <c r="J290" t="s">
        <v>48</v>
      </c>
      <c r="K290" t="s">
        <v>14</v>
      </c>
      <c r="L290" t="s">
        <v>16</v>
      </c>
    </row>
    <row r="291" spans="1:12" x14ac:dyDescent="0.3">
      <c r="A291">
        <v>2290</v>
      </c>
      <c r="B291">
        <v>46</v>
      </c>
      <c r="C291" t="s">
        <v>34</v>
      </c>
      <c r="D291" t="s">
        <v>19</v>
      </c>
      <c r="E291" t="s">
        <v>41</v>
      </c>
      <c r="F291">
        <v>6</v>
      </c>
      <c r="G291">
        <v>0</v>
      </c>
      <c r="H291" t="s">
        <v>16</v>
      </c>
      <c r="I291">
        <v>5</v>
      </c>
      <c r="J291" t="s">
        <v>44</v>
      </c>
      <c r="K291" t="s">
        <v>16</v>
      </c>
      <c r="L291" t="s">
        <v>16</v>
      </c>
    </row>
    <row r="292" spans="1:12" x14ac:dyDescent="0.3">
      <c r="A292">
        <v>2291</v>
      </c>
      <c r="B292">
        <v>32</v>
      </c>
      <c r="C292" t="s">
        <v>38</v>
      </c>
      <c r="D292" t="s">
        <v>15</v>
      </c>
      <c r="E292" t="s">
        <v>40</v>
      </c>
      <c r="F292">
        <v>11</v>
      </c>
      <c r="G292">
        <v>1</v>
      </c>
      <c r="H292" t="s">
        <v>16</v>
      </c>
      <c r="I292">
        <v>11</v>
      </c>
      <c r="J292" t="s">
        <v>44</v>
      </c>
      <c r="K292" t="s">
        <v>14</v>
      </c>
      <c r="L292" t="s">
        <v>16</v>
      </c>
    </row>
    <row r="293" spans="1:12" x14ac:dyDescent="0.3">
      <c r="A293">
        <v>2292</v>
      </c>
      <c r="B293">
        <v>41</v>
      </c>
      <c r="C293" t="s">
        <v>34</v>
      </c>
      <c r="D293" t="s">
        <v>18</v>
      </c>
      <c r="E293" t="s">
        <v>50</v>
      </c>
      <c r="F293">
        <v>10</v>
      </c>
      <c r="G293">
        <v>1</v>
      </c>
      <c r="H293" t="s">
        <v>16</v>
      </c>
      <c r="I293">
        <v>4</v>
      </c>
      <c r="J293" t="s">
        <v>33</v>
      </c>
      <c r="K293" t="s">
        <v>14</v>
      </c>
      <c r="L293" t="s">
        <v>16</v>
      </c>
    </row>
    <row r="294" spans="1:12" x14ac:dyDescent="0.3">
      <c r="A294">
        <v>2293</v>
      </c>
      <c r="B294">
        <v>76</v>
      </c>
      <c r="C294" t="s">
        <v>34</v>
      </c>
      <c r="D294" t="s">
        <v>18</v>
      </c>
      <c r="E294" t="s">
        <v>52</v>
      </c>
      <c r="F294">
        <v>8</v>
      </c>
      <c r="G294">
        <v>0</v>
      </c>
      <c r="H294" t="s">
        <v>16</v>
      </c>
      <c r="I294">
        <v>1</v>
      </c>
      <c r="J294" t="s">
        <v>33</v>
      </c>
      <c r="K294" t="s">
        <v>14</v>
      </c>
      <c r="L294" t="s">
        <v>16</v>
      </c>
    </row>
    <row r="295" spans="1:12" x14ac:dyDescent="0.3">
      <c r="A295">
        <v>2294</v>
      </c>
      <c r="B295">
        <v>36</v>
      </c>
      <c r="C295" t="s">
        <v>38</v>
      </c>
      <c r="D295" t="s">
        <v>18</v>
      </c>
      <c r="E295" t="s">
        <v>50</v>
      </c>
      <c r="F295">
        <v>7</v>
      </c>
      <c r="G295">
        <v>2</v>
      </c>
      <c r="H295" t="s">
        <v>16</v>
      </c>
      <c r="I295">
        <v>4</v>
      </c>
      <c r="J295" t="s">
        <v>33</v>
      </c>
      <c r="K295" t="s">
        <v>16</v>
      </c>
      <c r="L295" t="s">
        <v>16</v>
      </c>
    </row>
    <row r="296" spans="1:12" x14ac:dyDescent="0.3">
      <c r="A296">
        <v>2295</v>
      </c>
      <c r="B296">
        <v>28</v>
      </c>
      <c r="C296" t="s">
        <v>34</v>
      </c>
      <c r="D296" t="s">
        <v>17</v>
      </c>
      <c r="E296" t="s">
        <v>42</v>
      </c>
      <c r="F296">
        <v>4</v>
      </c>
      <c r="G296">
        <v>0</v>
      </c>
      <c r="H296" t="s">
        <v>14</v>
      </c>
      <c r="I296">
        <v>9</v>
      </c>
      <c r="J296" t="s">
        <v>33</v>
      </c>
      <c r="K296" t="s">
        <v>14</v>
      </c>
      <c r="L296" t="s">
        <v>16</v>
      </c>
    </row>
    <row r="297" spans="1:12" x14ac:dyDescent="0.3">
      <c r="A297">
        <v>2296</v>
      </c>
      <c r="B297">
        <v>86</v>
      </c>
      <c r="C297" t="s">
        <v>34</v>
      </c>
      <c r="D297" t="s">
        <v>13</v>
      </c>
      <c r="E297" t="s">
        <v>35</v>
      </c>
      <c r="F297">
        <v>11</v>
      </c>
      <c r="G297">
        <v>0</v>
      </c>
      <c r="H297" t="s">
        <v>16</v>
      </c>
      <c r="I297">
        <v>2</v>
      </c>
      <c r="J297" t="s">
        <v>48</v>
      </c>
      <c r="K297" t="s">
        <v>14</v>
      </c>
      <c r="L297" t="s">
        <v>16</v>
      </c>
    </row>
    <row r="298" spans="1:12" x14ac:dyDescent="0.3">
      <c r="A298">
        <v>2297</v>
      </c>
      <c r="B298">
        <v>28</v>
      </c>
      <c r="C298" t="s">
        <v>38</v>
      </c>
      <c r="D298" t="s">
        <v>13</v>
      </c>
      <c r="E298" t="s">
        <v>35</v>
      </c>
      <c r="F298">
        <v>7</v>
      </c>
      <c r="G298">
        <v>2</v>
      </c>
      <c r="H298" t="s">
        <v>16</v>
      </c>
      <c r="I298">
        <v>6</v>
      </c>
      <c r="J298" t="s">
        <v>33</v>
      </c>
      <c r="K298" t="s">
        <v>14</v>
      </c>
      <c r="L298" t="s">
        <v>16</v>
      </c>
    </row>
    <row r="299" spans="1:12" x14ac:dyDescent="0.3">
      <c r="A299">
        <v>2298</v>
      </c>
      <c r="B299">
        <v>31</v>
      </c>
      <c r="C299" t="s">
        <v>34</v>
      </c>
      <c r="D299" t="s">
        <v>13</v>
      </c>
      <c r="E299" t="s">
        <v>32</v>
      </c>
      <c r="F299">
        <v>7</v>
      </c>
      <c r="G299">
        <v>2</v>
      </c>
      <c r="H299" t="s">
        <v>14</v>
      </c>
      <c r="I299">
        <v>8</v>
      </c>
      <c r="J299" t="s">
        <v>33</v>
      </c>
      <c r="K299" t="s">
        <v>14</v>
      </c>
      <c r="L299" t="s">
        <v>16</v>
      </c>
    </row>
    <row r="300" spans="1:12" x14ac:dyDescent="0.3">
      <c r="A300">
        <v>2299</v>
      </c>
      <c r="B300">
        <v>85</v>
      </c>
      <c r="C300" t="s">
        <v>34</v>
      </c>
      <c r="D300" t="s">
        <v>15</v>
      </c>
      <c r="E300" t="s">
        <v>39</v>
      </c>
      <c r="F300">
        <v>14</v>
      </c>
      <c r="G300">
        <v>3</v>
      </c>
      <c r="H300" t="s">
        <v>16</v>
      </c>
      <c r="I300">
        <v>6</v>
      </c>
      <c r="J300" t="s">
        <v>36</v>
      </c>
      <c r="K300" t="s">
        <v>14</v>
      </c>
      <c r="L300" t="s">
        <v>16</v>
      </c>
    </row>
    <row r="301" spans="1:12" x14ac:dyDescent="0.3">
      <c r="A301">
        <v>2300</v>
      </c>
      <c r="B301">
        <v>60</v>
      </c>
      <c r="C301" t="s">
        <v>38</v>
      </c>
      <c r="D301" t="s">
        <v>18</v>
      </c>
      <c r="E301" t="s">
        <v>51</v>
      </c>
      <c r="F301">
        <v>2</v>
      </c>
      <c r="G301">
        <v>2</v>
      </c>
      <c r="H301" t="s">
        <v>14</v>
      </c>
      <c r="I301">
        <v>7</v>
      </c>
      <c r="J301" t="s">
        <v>48</v>
      </c>
      <c r="K301" t="s">
        <v>14</v>
      </c>
      <c r="L301" t="s">
        <v>16</v>
      </c>
    </row>
    <row r="302" spans="1:12" x14ac:dyDescent="0.3">
      <c r="A302">
        <v>2301</v>
      </c>
      <c r="B302">
        <v>35</v>
      </c>
      <c r="C302" t="s">
        <v>34</v>
      </c>
      <c r="D302" t="s">
        <v>18</v>
      </c>
      <c r="E302" t="s">
        <v>51</v>
      </c>
      <c r="F302">
        <v>1</v>
      </c>
      <c r="G302">
        <v>3</v>
      </c>
      <c r="H302" t="s">
        <v>16</v>
      </c>
      <c r="I302">
        <v>8</v>
      </c>
      <c r="J302" t="s">
        <v>36</v>
      </c>
      <c r="K302" t="s">
        <v>14</v>
      </c>
      <c r="L302" t="s">
        <v>16</v>
      </c>
    </row>
    <row r="303" spans="1:12" x14ac:dyDescent="0.3">
      <c r="A303">
        <v>2302</v>
      </c>
      <c r="B303">
        <v>45</v>
      </c>
      <c r="C303" t="s">
        <v>38</v>
      </c>
      <c r="D303" t="s">
        <v>13</v>
      </c>
      <c r="E303" t="s">
        <v>32</v>
      </c>
      <c r="F303">
        <v>9</v>
      </c>
      <c r="G303">
        <v>0</v>
      </c>
      <c r="H303" t="s">
        <v>16</v>
      </c>
      <c r="J303" t="s">
        <v>33</v>
      </c>
      <c r="K303" t="s">
        <v>14</v>
      </c>
      <c r="L303" t="s">
        <v>16</v>
      </c>
    </row>
    <row r="304" spans="1:12" x14ac:dyDescent="0.3">
      <c r="A304">
        <v>2303</v>
      </c>
      <c r="B304">
        <v>83</v>
      </c>
      <c r="C304" t="s">
        <v>38</v>
      </c>
      <c r="D304" t="s">
        <v>47</v>
      </c>
      <c r="E304" t="s">
        <v>42</v>
      </c>
      <c r="F304">
        <v>11</v>
      </c>
      <c r="G304">
        <v>1</v>
      </c>
      <c r="H304" t="s">
        <v>14</v>
      </c>
      <c r="I304">
        <v>9</v>
      </c>
      <c r="J304" t="s">
        <v>33</v>
      </c>
      <c r="K304" t="s">
        <v>14</v>
      </c>
      <c r="L304" t="s">
        <v>16</v>
      </c>
    </row>
    <row r="305" spans="1:12" x14ac:dyDescent="0.3">
      <c r="A305">
        <v>2304</v>
      </c>
      <c r="B305">
        <v>74</v>
      </c>
      <c r="C305" t="s">
        <v>34</v>
      </c>
      <c r="D305" t="s">
        <v>17</v>
      </c>
      <c r="E305" t="s">
        <v>49</v>
      </c>
      <c r="F305">
        <v>13</v>
      </c>
      <c r="G305">
        <v>1</v>
      </c>
      <c r="H305" t="s">
        <v>14</v>
      </c>
      <c r="I305">
        <v>6</v>
      </c>
      <c r="J305" t="s">
        <v>48</v>
      </c>
      <c r="K305" t="s">
        <v>14</v>
      </c>
      <c r="L305" t="s">
        <v>14</v>
      </c>
    </row>
    <row r="306" spans="1:12" x14ac:dyDescent="0.3">
      <c r="A306">
        <v>2305</v>
      </c>
      <c r="B306">
        <v>19</v>
      </c>
      <c r="C306" t="s">
        <v>34</v>
      </c>
      <c r="D306" t="s">
        <v>15</v>
      </c>
      <c r="E306" t="s">
        <v>37</v>
      </c>
      <c r="F306">
        <v>7</v>
      </c>
      <c r="G306">
        <v>2</v>
      </c>
      <c r="H306" t="s">
        <v>16</v>
      </c>
      <c r="I306">
        <v>3</v>
      </c>
      <c r="J306" t="s">
        <v>33</v>
      </c>
      <c r="K306" t="s">
        <v>16</v>
      </c>
      <c r="L306" t="s">
        <v>16</v>
      </c>
    </row>
    <row r="307" spans="1:12" x14ac:dyDescent="0.3">
      <c r="A307">
        <v>2306</v>
      </c>
      <c r="B307">
        <v>63</v>
      </c>
      <c r="C307" t="s">
        <v>38</v>
      </c>
      <c r="D307" t="s">
        <v>18</v>
      </c>
      <c r="E307" t="s">
        <v>50</v>
      </c>
      <c r="F307">
        <v>14</v>
      </c>
      <c r="G307">
        <v>0</v>
      </c>
      <c r="H307" t="s">
        <v>14</v>
      </c>
      <c r="I307">
        <v>1</v>
      </c>
      <c r="J307" t="s">
        <v>36</v>
      </c>
      <c r="K307" t="s">
        <v>14</v>
      </c>
      <c r="L307" t="s">
        <v>16</v>
      </c>
    </row>
    <row r="308" spans="1:12" x14ac:dyDescent="0.3">
      <c r="A308">
        <v>2307</v>
      </c>
      <c r="B308">
        <v>65</v>
      </c>
      <c r="C308" t="s">
        <v>34</v>
      </c>
      <c r="D308" t="s">
        <v>15</v>
      </c>
      <c r="E308" t="s">
        <v>37</v>
      </c>
      <c r="F308">
        <v>6</v>
      </c>
      <c r="G308">
        <v>2</v>
      </c>
      <c r="H308" t="s">
        <v>16</v>
      </c>
      <c r="I308">
        <v>13</v>
      </c>
      <c r="J308" t="s">
        <v>44</v>
      </c>
      <c r="K308" t="s">
        <v>14</v>
      </c>
      <c r="L308" t="s">
        <v>16</v>
      </c>
    </row>
    <row r="309" spans="1:12" x14ac:dyDescent="0.3">
      <c r="A309">
        <v>2308</v>
      </c>
      <c r="B309">
        <v>37</v>
      </c>
      <c r="C309" t="s">
        <v>34</v>
      </c>
      <c r="D309" t="s">
        <v>15</v>
      </c>
      <c r="E309" t="s">
        <v>39</v>
      </c>
      <c r="F309">
        <v>11</v>
      </c>
      <c r="G309">
        <v>0</v>
      </c>
      <c r="H309" t="s">
        <v>14</v>
      </c>
      <c r="I309">
        <v>12</v>
      </c>
      <c r="J309" t="s">
        <v>36</v>
      </c>
      <c r="K309" t="s">
        <v>14</v>
      </c>
      <c r="L309" t="s">
        <v>16</v>
      </c>
    </row>
    <row r="310" spans="1:12" x14ac:dyDescent="0.3">
      <c r="A310">
        <v>2309</v>
      </c>
      <c r="B310">
        <v>29</v>
      </c>
      <c r="C310" t="s">
        <v>34</v>
      </c>
      <c r="D310" t="s">
        <v>19</v>
      </c>
      <c r="E310" t="s">
        <v>41</v>
      </c>
      <c r="F310">
        <v>3</v>
      </c>
      <c r="G310">
        <v>2</v>
      </c>
      <c r="H310" t="s">
        <v>14</v>
      </c>
      <c r="I310">
        <v>2</v>
      </c>
      <c r="J310" t="s">
        <v>48</v>
      </c>
      <c r="K310" t="s">
        <v>14</v>
      </c>
      <c r="L310" t="s">
        <v>16</v>
      </c>
    </row>
    <row r="311" spans="1:12" x14ac:dyDescent="0.3">
      <c r="A311">
        <v>2310</v>
      </c>
      <c r="B311">
        <v>66</v>
      </c>
      <c r="C311" t="s">
        <v>38</v>
      </c>
      <c r="D311" t="s">
        <v>19</v>
      </c>
      <c r="E311" t="s">
        <v>46</v>
      </c>
      <c r="F311">
        <v>9</v>
      </c>
      <c r="G311">
        <v>1</v>
      </c>
      <c r="H311" t="s">
        <v>16</v>
      </c>
      <c r="I311">
        <v>5</v>
      </c>
      <c r="J311" t="s">
        <v>33</v>
      </c>
      <c r="K311" t="s">
        <v>14</v>
      </c>
      <c r="L311" t="s">
        <v>16</v>
      </c>
    </row>
    <row r="312" spans="1:12" x14ac:dyDescent="0.3">
      <c r="A312">
        <v>2311</v>
      </c>
      <c r="B312">
        <v>20</v>
      </c>
      <c r="C312" t="s">
        <v>38</v>
      </c>
      <c r="D312" t="s">
        <v>17</v>
      </c>
      <c r="E312" t="s">
        <v>42</v>
      </c>
      <c r="F312">
        <v>2</v>
      </c>
      <c r="G312">
        <v>1</v>
      </c>
      <c r="H312" t="s">
        <v>16</v>
      </c>
      <c r="I312">
        <v>3</v>
      </c>
      <c r="J312" t="s">
        <v>33</v>
      </c>
      <c r="K312" t="s">
        <v>14</v>
      </c>
      <c r="L312" t="s">
        <v>16</v>
      </c>
    </row>
    <row r="313" spans="1:12" x14ac:dyDescent="0.3">
      <c r="A313">
        <v>2312</v>
      </c>
      <c r="B313">
        <v>48</v>
      </c>
      <c r="C313" t="s">
        <v>34</v>
      </c>
      <c r="D313" t="s">
        <v>15</v>
      </c>
      <c r="E313" t="s">
        <v>40</v>
      </c>
      <c r="F313">
        <v>10</v>
      </c>
      <c r="G313">
        <v>2</v>
      </c>
      <c r="H313" t="s">
        <v>14</v>
      </c>
      <c r="I313">
        <v>10</v>
      </c>
      <c r="J313" t="s">
        <v>33</v>
      </c>
      <c r="K313" t="s">
        <v>16</v>
      </c>
      <c r="L313" t="s">
        <v>14</v>
      </c>
    </row>
    <row r="314" spans="1:12" x14ac:dyDescent="0.3">
      <c r="A314">
        <v>2313</v>
      </c>
      <c r="B314">
        <v>49</v>
      </c>
      <c r="C314" t="s">
        <v>38</v>
      </c>
      <c r="D314" t="s">
        <v>19</v>
      </c>
      <c r="E314" t="s">
        <v>41</v>
      </c>
      <c r="F314">
        <v>7</v>
      </c>
      <c r="G314">
        <v>1</v>
      </c>
      <c r="H314" t="s">
        <v>16</v>
      </c>
      <c r="I314">
        <v>11</v>
      </c>
      <c r="J314" t="s">
        <v>33</v>
      </c>
      <c r="K314" t="s">
        <v>14</v>
      </c>
      <c r="L314" t="s">
        <v>16</v>
      </c>
    </row>
    <row r="315" spans="1:12" x14ac:dyDescent="0.3">
      <c r="A315">
        <v>2314</v>
      </c>
      <c r="B315">
        <v>31</v>
      </c>
      <c r="C315" t="s">
        <v>34</v>
      </c>
      <c r="D315" t="s">
        <v>15</v>
      </c>
      <c r="E315" t="s">
        <v>39</v>
      </c>
      <c r="F315">
        <v>11</v>
      </c>
      <c r="G315">
        <v>0</v>
      </c>
      <c r="H315" t="s">
        <v>16</v>
      </c>
      <c r="I315">
        <v>2</v>
      </c>
      <c r="J315" t="s">
        <v>33</v>
      </c>
      <c r="K315" t="s">
        <v>16</v>
      </c>
      <c r="L315" t="s">
        <v>16</v>
      </c>
    </row>
    <row r="316" spans="1:12" x14ac:dyDescent="0.3">
      <c r="A316">
        <v>2315</v>
      </c>
      <c r="B316">
        <v>27</v>
      </c>
      <c r="C316" t="s">
        <v>34</v>
      </c>
      <c r="D316" t="s">
        <v>15</v>
      </c>
      <c r="E316" t="s">
        <v>39</v>
      </c>
      <c r="F316">
        <v>10</v>
      </c>
      <c r="G316">
        <v>0</v>
      </c>
      <c r="H316" t="s">
        <v>14</v>
      </c>
      <c r="I316">
        <v>11</v>
      </c>
      <c r="J316" t="s">
        <v>33</v>
      </c>
      <c r="K316" t="s">
        <v>14</v>
      </c>
      <c r="L316" t="s">
        <v>16</v>
      </c>
    </row>
    <row r="317" spans="1:12" x14ac:dyDescent="0.3">
      <c r="A317">
        <v>2316</v>
      </c>
      <c r="B317">
        <v>78</v>
      </c>
      <c r="C317" t="s">
        <v>34</v>
      </c>
      <c r="D317" t="s">
        <v>19</v>
      </c>
      <c r="E317" t="s">
        <v>45</v>
      </c>
      <c r="F317">
        <v>4</v>
      </c>
      <c r="G317">
        <v>1</v>
      </c>
      <c r="H317" t="s">
        <v>14</v>
      </c>
      <c r="I317">
        <v>9</v>
      </c>
      <c r="J317" t="s">
        <v>48</v>
      </c>
      <c r="K317" t="s">
        <v>14</v>
      </c>
      <c r="L317" t="s">
        <v>16</v>
      </c>
    </row>
    <row r="318" spans="1:12" x14ac:dyDescent="0.3">
      <c r="A318">
        <v>2317</v>
      </c>
      <c r="B318">
        <v>60</v>
      </c>
      <c r="C318" t="s">
        <v>34</v>
      </c>
      <c r="D318" t="s">
        <v>18</v>
      </c>
      <c r="E318" t="s">
        <v>52</v>
      </c>
      <c r="F318">
        <v>6</v>
      </c>
      <c r="G318">
        <v>1</v>
      </c>
      <c r="H318" t="s">
        <v>16</v>
      </c>
      <c r="I318">
        <v>10</v>
      </c>
      <c r="J318" t="s">
        <v>33</v>
      </c>
      <c r="K318" t="s">
        <v>16</v>
      </c>
      <c r="L318" t="s">
        <v>16</v>
      </c>
    </row>
    <row r="319" spans="1:12" x14ac:dyDescent="0.3">
      <c r="A319">
        <v>2318</v>
      </c>
      <c r="B319">
        <v>63</v>
      </c>
      <c r="C319" t="s">
        <v>38</v>
      </c>
      <c r="D319" t="s">
        <v>15</v>
      </c>
      <c r="E319" t="s">
        <v>37</v>
      </c>
      <c r="F319">
        <v>7</v>
      </c>
      <c r="G319">
        <v>0</v>
      </c>
      <c r="H319" t="s">
        <v>16</v>
      </c>
      <c r="I319">
        <v>1</v>
      </c>
      <c r="J319" t="s">
        <v>44</v>
      </c>
      <c r="K319" t="s">
        <v>16</v>
      </c>
      <c r="L319" t="s">
        <v>16</v>
      </c>
    </row>
    <row r="320" spans="1:12" x14ac:dyDescent="0.3">
      <c r="A320">
        <v>2319</v>
      </c>
      <c r="B320">
        <v>48</v>
      </c>
      <c r="C320" t="s">
        <v>34</v>
      </c>
      <c r="D320" t="s">
        <v>17</v>
      </c>
      <c r="E320" t="s">
        <v>42</v>
      </c>
      <c r="F320">
        <v>12</v>
      </c>
      <c r="G320">
        <v>2</v>
      </c>
      <c r="H320" t="s">
        <v>16</v>
      </c>
      <c r="I320">
        <v>11</v>
      </c>
      <c r="J320" t="s">
        <v>33</v>
      </c>
      <c r="K320" t="s">
        <v>14</v>
      </c>
      <c r="L320" t="s">
        <v>16</v>
      </c>
    </row>
    <row r="321" spans="1:12" x14ac:dyDescent="0.3">
      <c r="A321">
        <v>2320</v>
      </c>
      <c r="B321">
        <v>50</v>
      </c>
      <c r="C321" t="s">
        <v>38</v>
      </c>
      <c r="D321" t="s">
        <v>15</v>
      </c>
      <c r="E321" t="s">
        <v>40</v>
      </c>
      <c r="F321">
        <v>3</v>
      </c>
      <c r="G321">
        <v>1</v>
      </c>
      <c r="H321" t="s">
        <v>16</v>
      </c>
      <c r="I321">
        <v>14</v>
      </c>
      <c r="J321" t="s">
        <v>33</v>
      </c>
      <c r="K321" t="s">
        <v>14</v>
      </c>
      <c r="L321" t="s">
        <v>16</v>
      </c>
    </row>
    <row r="322" spans="1:12" x14ac:dyDescent="0.3">
      <c r="A322">
        <v>2321</v>
      </c>
      <c r="B322">
        <v>42</v>
      </c>
      <c r="C322" t="s">
        <v>38</v>
      </c>
      <c r="D322" t="s">
        <v>15</v>
      </c>
      <c r="E322" t="s">
        <v>40</v>
      </c>
      <c r="F322">
        <v>14</v>
      </c>
      <c r="G322">
        <v>1</v>
      </c>
      <c r="H322" t="s">
        <v>14</v>
      </c>
      <c r="I322">
        <v>3</v>
      </c>
      <c r="J322" t="s">
        <v>36</v>
      </c>
      <c r="K322" t="s">
        <v>16</v>
      </c>
      <c r="L322" t="s">
        <v>14</v>
      </c>
    </row>
    <row r="323" spans="1:12" x14ac:dyDescent="0.3">
      <c r="A323">
        <v>2322</v>
      </c>
      <c r="B323">
        <v>18</v>
      </c>
      <c r="C323" t="s">
        <v>34</v>
      </c>
      <c r="D323" t="s">
        <v>15</v>
      </c>
      <c r="E323" t="s">
        <v>39</v>
      </c>
      <c r="F323">
        <v>3</v>
      </c>
      <c r="G323">
        <v>2</v>
      </c>
      <c r="H323" t="s">
        <v>14</v>
      </c>
      <c r="I323">
        <v>7</v>
      </c>
      <c r="J323" t="s">
        <v>33</v>
      </c>
      <c r="K323" t="s">
        <v>16</v>
      </c>
      <c r="L323" t="s">
        <v>14</v>
      </c>
    </row>
    <row r="324" spans="1:12" x14ac:dyDescent="0.3">
      <c r="A324">
        <v>2323</v>
      </c>
      <c r="B324">
        <v>32</v>
      </c>
      <c r="C324" t="s">
        <v>34</v>
      </c>
      <c r="D324" t="s">
        <v>17</v>
      </c>
      <c r="E324" t="s">
        <v>42</v>
      </c>
      <c r="F324">
        <v>13</v>
      </c>
      <c r="G324">
        <v>2</v>
      </c>
      <c r="H324" t="s">
        <v>16</v>
      </c>
      <c r="I324">
        <v>10</v>
      </c>
      <c r="J324" t="s">
        <v>36</v>
      </c>
      <c r="K324" t="s">
        <v>16</v>
      </c>
      <c r="L324" t="s">
        <v>16</v>
      </c>
    </row>
    <row r="325" spans="1:12" x14ac:dyDescent="0.3">
      <c r="A325">
        <v>2324</v>
      </c>
      <c r="B325">
        <v>78</v>
      </c>
      <c r="C325" t="s">
        <v>34</v>
      </c>
      <c r="D325" t="s">
        <v>19</v>
      </c>
      <c r="E325" t="s">
        <v>41</v>
      </c>
      <c r="F325">
        <v>10</v>
      </c>
      <c r="G325">
        <v>2</v>
      </c>
      <c r="H325" t="s">
        <v>14</v>
      </c>
      <c r="I325">
        <v>7</v>
      </c>
      <c r="J325" t="s">
        <v>48</v>
      </c>
      <c r="K325" t="s">
        <v>14</v>
      </c>
      <c r="L325" t="s">
        <v>16</v>
      </c>
    </row>
    <row r="326" spans="1:12" x14ac:dyDescent="0.3">
      <c r="A326">
        <v>2325</v>
      </c>
      <c r="B326">
        <v>71</v>
      </c>
      <c r="C326" t="s">
        <v>34</v>
      </c>
      <c r="D326" t="s">
        <v>19</v>
      </c>
      <c r="E326" t="s">
        <v>46</v>
      </c>
      <c r="F326">
        <v>7</v>
      </c>
      <c r="G326">
        <v>0</v>
      </c>
      <c r="H326" t="s">
        <v>16</v>
      </c>
      <c r="I326">
        <v>8</v>
      </c>
      <c r="J326" t="s">
        <v>44</v>
      </c>
      <c r="K326" t="s">
        <v>14</v>
      </c>
      <c r="L326" t="s">
        <v>16</v>
      </c>
    </row>
    <row r="327" spans="1:12" x14ac:dyDescent="0.3">
      <c r="A327">
        <v>2326</v>
      </c>
      <c r="B327">
        <v>21</v>
      </c>
      <c r="C327" t="s">
        <v>38</v>
      </c>
      <c r="D327" t="s">
        <v>13</v>
      </c>
      <c r="E327" t="s">
        <v>43</v>
      </c>
      <c r="F327">
        <v>3</v>
      </c>
      <c r="G327">
        <v>2</v>
      </c>
      <c r="H327" t="s">
        <v>14</v>
      </c>
      <c r="I327">
        <v>4</v>
      </c>
      <c r="J327" t="s">
        <v>33</v>
      </c>
      <c r="K327" t="s">
        <v>14</v>
      </c>
      <c r="L327" t="s">
        <v>16</v>
      </c>
    </row>
    <row r="328" spans="1:12" x14ac:dyDescent="0.3">
      <c r="A328">
        <v>2327</v>
      </c>
      <c r="B328">
        <v>18</v>
      </c>
      <c r="C328" t="s">
        <v>38</v>
      </c>
      <c r="D328" t="s">
        <v>18</v>
      </c>
      <c r="E328" t="s">
        <v>50</v>
      </c>
      <c r="F328">
        <v>9</v>
      </c>
      <c r="G328">
        <v>0</v>
      </c>
      <c r="H328" t="s">
        <v>16</v>
      </c>
      <c r="I328">
        <v>7</v>
      </c>
      <c r="J328" t="s">
        <v>33</v>
      </c>
      <c r="K328" t="s">
        <v>14</v>
      </c>
      <c r="L328" t="s">
        <v>16</v>
      </c>
    </row>
    <row r="329" spans="1:12" x14ac:dyDescent="0.3">
      <c r="A329">
        <v>2328</v>
      </c>
      <c r="B329">
        <v>54</v>
      </c>
      <c r="C329" t="s">
        <v>38</v>
      </c>
      <c r="D329" t="s">
        <v>19</v>
      </c>
      <c r="E329" t="s">
        <v>41</v>
      </c>
      <c r="F329">
        <v>12</v>
      </c>
      <c r="G329">
        <v>2</v>
      </c>
      <c r="H329" t="s">
        <v>16</v>
      </c>
      <c r="I329">
        <v>6</v>
      </c>
      <c r="J329" t="s">
        <v>33</v>
      </c>
      <c r="K329" t="s">
        <v>14</v>
      </c>
      <c r="L329" t="s">
        <v>16</v>
      </c>
    </row>
    <row r="330" spans="1:12" x14ac:dyDescent="0.3">
      <c r="A330">
        <v>2329</v>
      </c>
      <c r="B330">
        <v>29</v>
      </c>
      <c r="C330" t="s">
        <v>34</v>
      </c>
      <c r="D330" t="s">
        <v>13</v>
      </c>
      <c r="E330" t="s">
        <v>43</v>
      </c>
      <c r="F330">
        <v>11</v>
      </c>
      <c r="G330">
        <v>1</v>
      </c>
      <c r="H330" t="s">
        <v>14</v>
      </c>
      <c r="I330">
        <v>14</v>
      </c>
      <c r="J330" t="s">
        <v>33</v>
      </c>
      <c r="K330" t="s">
        <v>14</v>
      </c>
      <c r="L330" t="s">
        <v>16</v>
      </c>
    </row>
    <row r="331" spans="1:12" x14ac:dyDescent="0.3">
      <c r="A331">
        <v>2330</v>
      </c>
      <c r="B331">
        <v>18</v>
      </c>
      <c r="C331" t="s">
        <v>34</v>
      </c>
      <c r="D331" t="s">
        <v>17</v>
      </c>
      <c r="E331" t="s">
        <v>53</v>
      </c>
      <c r="F331">
        <v>2</v>
      </c>
      <c r="G331">
        <v>0</v>
      </c>
      <c r="H331" t="s">
        <v>16</v>
      </c>
      <c r="I331">
        <v>7</v>
      </c>
      <c r="J331" t="s">
        <v>33</v>
      </c>
      <c r="K331" t="s">
        <v>14</v>
      </c>
      <c r="L331" t="s">
        <v>16</v>
      </c>
    </row>
    <row r="332" spans="1:12" x14ac:dyDescent="0.3">
      <c r="A332">
        <v>2331</v>
      </c>
      <c r="B332">
        <v>68</v>
      </c>
      <c r="C332" t="s">
        <v>38</v>
      </c>
      <c r="D332" t="s">
        <v>18</v>
      </c>
      <c r="E332" t="s">
        <v>50</v>
      </c>
      <c r="F332">
        <v>3</v>
      </c>
      <c r="G332">
        <v>1</v>
      </c>
      <c r="H332" t="s">
        <v>14</v>
      </c>
      <c r="I332">
        <v>8</v>
      </c>
      <c r="J332" t="s">
        <v>33</v>
      </c>
      <c r="K332" t="s">
        <v>16</v>
      </c>
      <c r="L332" t="s">
        <v>14</v>
      </c>
    </row>
    <row r="333" spans="1:12" x14ac:dyDescent="0.3">
      <c r="A333">
        <v>2332</v>
      </c>
      <c r="B333">
        <v>49</v>
      </c>
      <c r="C333" t="s">
        <v>38</v>
      </c>
      <c r="D333" t="s">
        <v>13</v>
      </c>
      <c r="E333" t="s">
        <v>43</v>
      </c>
      <c r="F333">
        <v>8</v>
      </c>
      <c r="G333">
        <v>2</v>
      </c>
      <c r="H333" t="s">
        <v>16</v>
      </c>
      <c r="I333">
        <v>12</v>
      </c>
      <c r="J333" t="s">
        <v>33</v>
      </c>
      <c r="K333" t="s">
        <v>14</v>
      </c>
      <c r="L333" t="s">
        <v>16</v>
      </c>
    </row>
    <row r="334" spans="1:12" x14ac:dyDescent="0.3">
      <c r="A334">
        <v>2333</v>
      </c>
      <c r="B334">
        <v>76</v>
      </c>
      <c r="C334" t="s">
        <v>34</v>
      </c>
      <c r="D334" t="s">
        <v>15</v>
      </c>
      <c r="E334" t="s">
        <v>40</v>
      </c>
      <c r="F334">
        <v>10</v>
      </c>
      <c r="G334">
        <v>1</v>
      </c>
      <c r="H334" t="s">
        <v>16</v>
      </c>
      <c r="I334">
        <v>4</v>
      </c>
      <c r="J334" t="s">
        <v>33</v>
      </c>
      <c r="K334" t="s">
        <v>14</v>
      </c>
      <c r="L334" t="s">
        <v>16</v>
      </c>
    </row>
    <row r="335" spans="1:12" x14ac:dyDescent="0.3">
      <c r="A335">
        <v>2334</v>
      </c>
      <c r="B335">
        <v>72</v>
      </c>
      <c r="C335" t="s">
        <v>38</v>
      </c>
      <c r="D335" t="s">
        <v>13</v>
      </c>
      <c r="E335" t="s">
        <v>32</v>
      </c>
      <c r="F335">
        <v>7</v>
      </c>
      <c r="G335">
        <v>1</v>
      </c>
      <c r="H335" t="s">
        <v>16</v>
      </c>
      <c r="I335">
        <v>3</v>
      </c>
      <c r="J335" t="s">
        <v>33</v>
      </c>
      <c r="K335" t="s">
        <v>14</v>
      </c>
      <c r="L335" t="s">
        <v>16</v>
      </c>
    </row>
    <row r="336" spans="1:12" x14ac:dyDescent="0.3">
      <c r="A336">
        <v>2335</v>
      </c>
      <c r="B336">
        <v>74</v>
      </c>
      <c r="C336" t="s">
        <v>38</v>
      </c>
      <c r="D336" t="s">
        <v>17</v>
      </c>
      <c r="E336" t="s">
        <v>42</v>
      </c>
      <c r="F336">
        <v>2</v>
      </c>
      <c r="G336">
        <v>2</v>
      </c>
      <c r="H336" t="s">
        <v>16</v>
      </c>
      <c r="I336">
        <v>12</v>
      </c>
      <c r="J336" t="s">
        <v>33</v>
      </c>
      <c r="K336" t="s">
        <v>16</v>
      </c>
      <c r="L336" t="s">
        <v>16</v>
      </c>
    </row>
    <row r="337" spans="1:12" x14ac:dyDescent="0.3">
      <c r="A337">
        <v>2336</v>
      </c>
      <c r="B337">
        <v>66</v>
      </c>
      <c r="C337" t="s">
        <v>34</v>
      </c>
      <c r="D337" t="s">
        <v>13</v>
      </c>
      <c r="E337" t="s">
        <v>43</v>
      </c>
      <c r="F337">
        <v>10</v>
      </c>
      <c r="G337">
        <v>2</v>
      </c>
      <c r="H337" t="s">
        <v>14</v>
      </c>
      <c r="I337">
        <v>2</v>
      </c>
      <c r="J337" t="s">
        <v>44</v>
      </c>
      <c r="K337" t="s">
        <v>14</v>
      </c>
      <c r="L337" t="s">
        <v>16</v>
      </c>
    </row>
    <row r="338" spans="1:12" x14ac:dyDescent="0.3">
      <c r="A338">
        <v>2337</v>
      </c>
      <c r="B338">
        <v>84</v>
      </c>
      <c r="C338" t="s">
        <v>38</v>
      </c>
      <c r="D338" t="s">
        <v>19</v>
      </c>
      <c r="E338" t="s">
        <v>46</v>
      </c>
      <c r="F338">
        <v>11</v>
      </c>
      <c r="G338">
        <v>3</v>
      </c>
      <c r="H338" t="s">
        <v>16</v>
      </c>
      <c r="I338">
        <v>4</v>
      </c>
      <c r="J338" t="s">
        <v>33</v>
      </c>
      <c r="K338" t="s">
        <v>14</v>
      </c>
      <c r="L338" t="s">
        <v>16</v>
      </c>
    </row>
    <row r="339" spans="1:12" x14ac:dyDescent="0.3">
      <c r="A339">
        <v>2338</v>
      </c>
      <c r="B339">
        <v>70</v>
      </c>
      <c r="C339" t="s">
        <v>38</v>
      </c>
      <c r="D339" t="s">
        <v>13</v>
      </c>
      <c r="E339" t="s">
        <v>35</v>
      </c>
      <c r="F339">
        <v>1</v>
      </c>
      <c r="G339">
        <v>0</v>
      </c>
      <c r="H339" t="s">
        <v>14</v>
      </c>
      <c r="I339">
        <v>13</v>
      </c>
      <c r="J339" t="s">
        <v>44</v>
      </c>
      <c r="K339" t="s">
        <v>14</v>
      </c>
      <c r="L339" t="s">
        <v>16</v>
      </c>
    </row>
    <row r="340" spans="1:12" x14ac:dyDescent="0.3">
      <c r="A340">
        <v>2339</v>
      </c>
      <c r="B340">
        <v>85</v>
      </c>
      <c r="C340" t="s">
        <v>38</v>
      </c>
      <c r="D340" t="s">
        <v>17</v>
      </c>
      <c r="E340" t="s">
        <v>42</v>
      </c>
      <c r="F340">
        <v>14</v>
      </c>
      <c r="G340">
        <v>2</v>
      </c>
      <c r="H340" t="s">
        <v>14</v>
      </c>
      <c r="I340">
        <v>11</v>
      </c>
      <c r="J340" t="s">
        <v>33</v>
      </c>
      <c r="K340" t="s">
        <v>16</v>
      </c>
      <c r="L340" t="s">
        <v>14</v>
      </c>
    </row>
    <row r="341" spans="1:12" x14ac:dyDescent="0.3">
      <c r="A341">
        <v>2340</v>
      </c>
      <c r="B341">
        <v>78</v>
      </c>
      <c r="C341" t="s">
        <v>38</v>
      </c>
      <c r="D341" t="s">
        <v>13</v>
      </c>
      <c r="E341" t="s">
        <v>32</v>
      </c>
      <c r="F341">
        <v>4</v>
      </c>
      <c r="G341">
        <v>3</v>
      </c>
      <c r="H341" t="s">
        <v>14</v>
      </c>
      <c r="I341">
        <v>2</v>
      </c>
      <c r="J341" t="s">
        <v>33</v>
      </c>
      <c r="K341" t="s">
        <v>14</v>
      </c>
      <c r="L341" t="s">
        <v>16</v>
      </c>
    </row>
    <row r="342" spans="1:12" x14ac:dyDescent="0.3">
      <c r="A342">
        <v>2341</v>
      </c>
      <c r="B342">
        <v>40</v>
      </c>
      <c r="C342" t="s">
        <v>34</v>
      </c>
      <c r="D342" t="s">
        <v>19</v>
      </c>
      <c r="E342" t="s">
        <v>46</v>
      </c>
      <c r="F342">
        <v>11</v>
      </c>
      <c r="G342">
        <v>1</v>
      </c>
      <c r="H342" t="s">
        <v>16</v>
      </c>
      <c r="I342">
        <v>14</v>
      </c>
      <c r="J342" t="s">
        <v>44</v>
      </c>
      <c r="K342" t="s">
        <v>14</v>
      </c>
      <c r="L342" t="s">
        <v>16</v>
      </c>
    </row>
    <row r="343" spans="1:12" x14ac:dyDescent="0.3">
      <c r="A343">
        <v>2342</v>
      </c>
      <c r="B343">
        <v>66</v>
      </c>
      <c r="C343" t="s">
        <v>38</v>
      </c>
      <c r="D343" t="s">
        <v>17</v>
      </c>
      <c r="E343" t="s">
        <v>49</v>
      </c>
      <c r="F343">
        <v>9</v>
      </c>
      <c r="G343">
        <v>1</v>
      </c>
      <c r="H343" t="s">
        <v>16</v>
      </c>
      <c r="I343">
        <v>6</v>
      </c>
      <c r="J343" t="s">
        <v>33</v>
      </c>
      <c r="K343" t="s">
        <v>14</v>
      </c>
      <c r="L343" t="s">
        <v>16</v>
      </c>
    </row>
    <row r="344" spans="1:12" x14ac:dyDescent="0.3">
      <c r="A344">
        <v>2343</v>
      </c>
      <c r="B344">
        <v>39</v>
      </c>
      <c r="C344" t="s">
        <v>34</v>
      </c>
      <c r="D344" t="s">
        <v>15</v>
      </c>
      <c r="E344" t="s">
        <v>37</v>
      </c>
      <c r="F344">
        <v>8</v>
      </c>
      <c r="G344">
        <v>0</v>
      </c>
      <c r="H344" t="s">
        <v>16</v>
      </c>
      <c r="I344">
        <v>6</v>
      </c>
      <c r="J344" t="s">
        <v>36</v>
      </c>
      <c r="K344" t="s">
        <v>16</v>
      </c>
      <c r="L344" t="s">
        <v>16</v>
      </c>
    </row>
    <row r="345" spans="1:12" x14ac:dyDescent="0.3">
      <c r="A345">
        <v>2344</v>
      </c>
      <c r="B345">
        <v>87</v>
      </c>
      <c r="C345" t="s">
        <v>34</v>
      </c>
      <c r="D345" t="s">
        <v>13</v>
      </c>
      <c r="E345" t="s">
        <v>32</v>
      </c>
      <c r="F345">
        <v>13</v>
      </c>
      <c r="G345">
        <v>1</v>
      </c>
      <c r="H345" t="s">
        <v>16</v>
      </c>
      <c r="I345">
        <v>3</v>
      </c>
      <c r="J345" t="s">
        <v>48</v>
      </c>
      <c r="K345" t="s">
        <v>16</v>
      </c>
      <c r="L345" t="s">
        <v>14</v>
      </c>
    </row>
    <row r="346" spans="1:12" x14ac:dyDescent="0.3">
      <c r="A346">
        <v>2345</v>
      </c>
      <c r="B346">
        <v>19</v>
      </c>
      <c r="C346" t="s">
        <v>34</v>
      </c>
      <c r="D346" t="s">
        <v>19</v>
      </c>
      <c r="E346" t="s">
        <v>46</v>
      </c>
      <c r="F346">
        <v>1</v>
      </c>
      <c r="G346">
        <v>0</v>
      </c>
      <c r="H346" t="s">
        <v>14</v>
      </c>
      <c r="I346">
        <v>6</v>
      </c>
      <c r="J346" t="s">
        <v>33</v>
      </c>
      <c r="K346" t="s">
        <v>16</v>
      </c>
      <c r="L346" t="s">
        <v>16</v>
      </c>
    </row>
    <row r="347" spans="1:12" x14ac:dyDescent="0.3">
      <c r="A347">
        <v>2346</v>
      </c>
      <c r="B347">
        <v>54</v>
      </c>
      <c r="C347" t="s">
        <v>38</v>
      </c>
      <c r="D347" t="s">
        <v>18</v>
      </c>
      <c r="E347" t="s">
        <v>52</v>
      </c>
      <c r="F347">
        <v>2</v>
      </c>
      <c r="G347">
        <v>0</v>
      </c>
      <c r="H347" t="s">
        <v>14</v>
      </c>
      <c r="I347">
        <v>1</v>
      </c>
      <c r="J347" t="s">
        <v>48</v>
      </c>
      <c r="K347" t="s">
        <v>14</v>
      </c>
      <c r="L347" t="s">
        <v>16</v>
      </c>
    </row>
    <row r="348" spans="1:12" x14ac:dyDescent="0.3">
      <c r="A348">
        <v>2347</v>
      </c>
      <c r="B348">
        <v>40</v>
      </c>
      <c r="C348" t="s">
        <v>34</v>
      </c>
      <c r="D348" t="s">
        <v>17</v>
      </c>
      <c r="E348" t="s">
        <v>53</v>
      </c>
      <c r="F348">
        <v>9</v>
      </c>
      <c r="G348">
        <v>0</v>
      </c>
      <c r="H348" t="s">
        <v>16</v>
      </c>
      <c r="I348">
        <v>11</v>
      </c>
      <c r="J348" t="s">
        <v>36</v>
      </c>
      <c r="K348" t="s">
        <v>16</v>
      </c>
      <c r="L348" t="s">
        <v>16</v>
      </c>
    </row>
    <row r="349" spans="1:12" x14ac:dyDescent="0.3">
      <c r="A349">
        <v>2348</v>
      </c>
      <c r="B349">
        <v>27</v>
      </c>
      <c r="C349" t="s">
        <v>38</v>
      </c>
      <c r="D349" t="s">
        <v>18</v>
      </c>
      <c r="E349" t="s">
        <v>50</v>
      </c>
      <c r="F349">
        <v>5</v>
      </c>
      <c r="G349">
        <v>0</v>
      </c>
      <c r="H349" t="s">
        <v>14</v>
      </c>
      <c r="I349">
        <v>3</v>
      </c>
      <c r="J349" t="s">
        <v>33</v>
      </c>
      <c r="K349" t="s">
        <v>14</v>
      </c>
      <c r="L349" t="s">
        <v>16</v>
      </c>
    </row>
    <row r="350" spans="1:12" x14ac:dyDescent="0.3">
      <c r="A350">
        <v>2349</v>
      </c>
      <c r="B350">
        <v>47</v>
      </c>
      <c r="C350" t="s">
        <v>34</v>
      </c>
      <c r="D350" t="s">
        <v>19</v>
      </c>
      <c r="E350" t="s">
        <v>41</v>
      </c>
      <c r="F350">
        <v>12</v>
      </c>
      <c r="G350">
        <v>3</v>
      </c>
      <c r="H350" t="s">
        <v>14</v>
      </c>
      <c r="I350">
        <v>1</v>
      </c>
      <c r="J350" t="s">
        <v>33</v>
      </c>
      <c r="K350" t="s">
        <v>14</v>
      </c>
      <c r="L350" t="s">
        <v>16</v>
      </c>
    </row>
    <row r="351" spans="1:12" x14ac:dyDescent="0.3">
      <c r="A351">
        <v>2350</v>
      </c>
      <c r="B351">
        <v>89</v>
      </c>
      <c r="C351" t="s">
        <v>31</v>
      </c>
      <c r="D351" t="s">
        <v>13</v>
      </c>
      <c r="E351" t="s">
        <v>43</v>
      </c>
      <c r="F351">
        <v>3</v>
      </c>
      <c r="G351">
        <v>2</v>
      </c>
      <c r="H351" t="s">
        <v>16</v>
      </c>
      <c r="I351">
        <v>3</v>
      </c>
      <c r="J351" t="s">
        <v>44</v>
      </c>
      <c r="K351" t="s">
        <v>16</v>
      </c>
      <c r="L351" t="s">
        <v>16</v>
      </c>
    </row>
    <row r="352" spans="1:12" x14ac:dyDescent="0.3">
      <c r="A352">
        <v>2351</v>
      </c>
      <c r="B352">
        <v>22</v>
      </c>
      <c r="C352" t="s">
        <v>34</v>
      </c>
      <c r="D352" t="s">
        <v>17</v>
      </c>
      <c r="E352" t="s">
        <v>42</v>
      </c>
      <c r="F352">
        <v>13</v>
      </c>
      <c r="G352">
        <v>0</v>
      </c>
      <c r="H352" t="s">
        <v>14</v>
      </c>
      <c r="I352">
        <v>6</v>
      </c>
      <c r="J352" t="s">
        <v>44</v>
      </c>
      <c r="K352" t="s">
        <v>14</v>
      </c>
      <c r="L352" t="s">
        <v>16</v>
      </c>
    </row>
    <row r="353" spans="1:12" x14ac:dyDescent="0.3">
      <c r="A353">
        <v>2352</v>
      </c>
      <c r="B353">
        <v>26</v>
      </c>
      <c r="C353" t="s">
        <v>34</v>
      </c>
      <c r="D353" t="s">
        <v>15</v>
      </c>
      <c r="E353" t="s">
        <v>40</v>
      </c>
      <c r="F353">
        <v>11</v>
      </c>
      <c r="G353">
        <v>1</v>
      </c>
      <c r="H353" t="s">
        <v>16</v>
      </c>
      <c r="I353">
        <v>4</v>
      </c>
      <c r="J353" t="s">
        <v>48</v>
      </c>
      <c r="K353" t="s">
        <v>16</v>
      </c>
      <c r="L353" t="s">
        <v>14</v>
      </c>
    </row>
    <row r="354" spans="1:12" x14ac:dyDescent="0.3">
      <c r="A354">
        <v>2353</v>
      </c>
      <c r="B354">
        <v>55</v>
      </c>
      <c r="C354" t="s">
        <v>38</v>
      </c>
      <c r="D354" t="s">
        <v>13</v>
      </c>
      <c r="E354" t="s">
        <v>43</v>
      </c>
      <c r="F354">
        <v>9</v>
      </c>
      <c r="G354">
        <v>3</v>
      </c>
      <c r="H354" t="s">
        <v>16</v>
      </c>
      <c r="I354">
        <v>7</v>
      </c>
      <c r="J354" t="s">
        <v>33</v>
      </c>
      <c r="K354" t="s">
        <v>14</v>
      </c>
      <c r="L354" t="s">
        <v>14</v>
      </c>
    </row>
    <row r="355" spans="1:12" x14ac:dyDescent="0.3">
      <c r="A355">
        <v>2354</v>
      </c>
      <c r="B355">
        <v>19</v>
      </c>
      <c r="C355" t="s">
        <v>38</v>
      </c>
      <c r="D355" t="s">
        <v>13</v>
      </c>
      <c r="E355" t="s">
        <v>35</v>
      </c>
      <c r="F355">
        <v>9</v>
      </c>
      <c r="G355">
        <v>0</v>
      </c>
      <c r="H355" t="s">
        <v>14</v>
      </c>
      <c r="I355">
        <v>13</v>
      </c>
      <c r="J355" t="s">
        <v>33</v>
      </c>
      <c r="K355" t="s">
        <v>14</v>
      </c>
      <c r="L355" t="s">
        <v>16</v>
      </c>
    </row>
    <row r="356" spans="1:12" x14ac:dyDescent="0.3">
      <c r="A356">
        <v>2355</v>
      </c>
      <c r="B356">
        <v>31</v>
      </c>
      <c r="C356" t="s">
        <v>34</v>
      </c>
      <c r="D356" t="s">
        <v>47</v>
      </c>
      <c r="E356" t="s">
        <v>43</v>
      </c>
      <c r="F356">
        <v>13</v>
      </c>
      <c r="G356">
        <v>1</v>
      </c>
      <c r="H356" t="s">
        <v>16</v>
      </c>
      <c r="I356">
        <v>11</v>
      </c>
      <c r="J356" t="s">
        <v>33</v>
      </c>
      <c r="K356" t="s">
        <v>14</v>
      </c>
      <c r="L356" t="s">
        <v>16</v>
      </c>
    </row>
    <row r="357" spans="1:12" x14ac:dyDescent="0.3">
      <c r="A357">
        <v>2356</v>
      </c>
      <c r="B357">
        <v>55</v>
      </c>
      <c r="C357" t="s">
        <v>38</v>
      </c>
      <c r="D357" t="s">
        <v>47</v>
      </c>
      <c r="E357" t="s">
        <v>49</v>
      </c>
      <c r="F357">
        <v>8</v>
      </c>
      <c r="G357">
        <v>1</v>
      </c>
      <c r="H357" t="s">
        <v>16</v>
      </c>
      <c r="I357">
        <v>11</v>
      </c>
      <c r="J357" t="s">
        <v>33</v>
      </c>
      <c r="K357" t="s">
        <v>16</v>
      </c>
      <c r="L357" t="s">
        <v>16</v>
      </c>
    </row>
    <row r="358" spans="1:12" x14ac:dyDescent="0.3">
      <c r="A358">
        <v>2357</v>
      </c>
      <c r="B358">
        <v>62</v>
      </c>
      <c r="C358" t="s">
        <v>34</v>
      </c>
      <c r="D358" t="s">
        <v>15</v>
      </c>
      <c r="E358" t="s">
        <v>37</v>
      </c>
      <c r="F358">
        <v>5</v>
      </c>
      <c r="G358">
        <v>1</v>
      </c>
      <c r="H358" t="s">
        <v>14</v>
      </c>
      <c r="I358">
        <v>9</v>
      </c>
      <c r="J358" t="s">
        <v>33</v>
      </c>
      <c r="K358" t="s">
        <v>16</v>
      </c>
      <c r="L358" t="s">
        <v>16</v>
      </c>
    </row>
    <row r="359" spans="1:12" x14ac:dyDescent="0.3">
      <c r="A359">
        <v>2358</v>
      </c>
      <c r="B359">
        <v>40</v>
      </c>
      <c r="C359" t="s">
        <v>34</v>
      </c>
      <c r="D359" t="s">
        <v>13</v>
      </c>
      <c r="E359" t="s">
        <v>35</v>
      </c>
      <c r="F359">
        <v>9</v>
      </c>
      <c r="G359">
        <v>0</v>
      </c>
      <c r="H359" t="s">
        <v>14</v>
      </c>
      <c r="I359">
        <v>9</v>
      </c>
      <c r="J359" t="s">
        <v>33</v>
      </c>
      <c r="K359" t="s">
        <v>14</v>
      </c>
      <c r="L359" t="s">
        <v>16</v>
      </c>
    </row>
    <row r="360" spans="1:12" x14ac:dyDescent="0.3">
      <c r="A360">
        <v>2359</v>
      </c>
      <c r="B360">
        <v>74</v>
      </c>
      <c r="C360" t="s">
        <v>34</v>
      </c>
      <c r="D360" t="s">
        <v>13</v>
      </c>
      <c r="E360" t="s">
        <v>35</v>
      </c>
      <c r="F360">
        <v>10</v>
      </c>
      <c r="G360">
        <v>1</v>
      </c>
      <c r="H360" t="s">
        <v>16</v>
      </c>
      <c r="I360">
        <v>12</v>
      </c>
      <c r="J360" t="s">
        <v>44</v>
      </c>
      <c r="K360" t="s">
        <v>14</v>
      </c>
      <c r="L360" t="s">
        <v>16</v>
      </c>
    </row>
    <row r="361" spans="1:12" x14ac:dyDescent="0.3">
      <c r="A361">
        <v>2360</v>
      </c>
      <c r="B361">
        <v>59</v>
      </c>
      <c r="C361" t="s">
        <v>34</v>
      </c>
      <c r="D361" t="s">
        <v>18</v>
      </c>
      <c r="E361" t="s">
        <v>50</v>
      </c>
      <c r="F361">
        <v>10</v>
      </c>
      <c r="G361">
        <v>0</v>
      </c>
      <c r="H361" t="s">
        <v>14</v>
      </c>
      <c r="I361">
        <v>2</v>
      </c>
      <c r="J361" t="s">
        <v>33</v>
      </c>
      <c r="K361" t="s">
        <v>14</v>
      </c>
      <c r="L361" t="s">
        <v>16</v>
      </c>
    </row>
    <row r="362" spans="1:12" x14ac:dyDescent="0.3">
      <c r="A362">
        <v>2361</v>
      </c>
      <c r="B362">
        <v>50</v>
      </c>
      <c r="C362" t="s">
        <v>34</v>
      </c>
      <c r="D362" t="s">
        <v>15</v>
      </c>
      <c r="E362" t="s">
        <v>40</v>
      </c>
      <c r="F362">
        <v>10</v>
      </c>
      <c r="G362">
        <v>0</v>
      </c>
      <c r="H362" t="s">
        <v>16</v>
      </c>
      <c r="I362">
        <v>11</v>
      </c>
      <c r="J362" t="s">
        <v>33</v>
      </c>
      <c r="K362" t="s">
        <v>14</v>
      </c>
      <c r="L362" t="s">
        <v>16</v>
      </c>
    </row>
    <row r="363" spans="1:12" x14ac:dyDescent="0.3">
      <c r="A363">
        <v>2362</v>
      </c>
      <c r="B363">
        <v>50</v>
      </c>
      <c r="C363" t="s">
        <v>38</v>
      </c>
      <c r="D363" t="s">
        <v>18</v>
      </c>
      <c r="E363" t="s">
        <v>51</v>
      </c>
      <c r="F363">
        <v>8</v>
      </c>
      <c r="G363">
        <v>0</v>
      </c>
      <c r="H363" t="s">
        <v>14</v>
      </c>
      <c r="I363">
        <v>14</v>
      </c>
      <c r="J363" t="s">
        <v>33</v>
      </c>
      <c r="K363" t="s">
        <v>14</v>
      </c>
      <c r="L363" t="s">
        <v>16</v>
      </c>
    </row>
    <row r="364" spans="1:12" x14ac:dyDescent="0.3">
      <c r="A364">
        <v>2363</v>
      </c>
      <c r="B364">
        <v>58</v>
      </c>
      <c r="C364" t="s">
        <v>34</v>
      </c>
      <c r="D364" t="s">
        <v>19</v>
      </c>
      <c r="E364" t="s">
        <v>45</v>
      </c>
      <c r="F364">
        <v>14</v>
      </c>
      <c r="G364">
        <v>2</v>
      </c>
      <c r="H364" t="s">
        <v>14</v>
      </c>
      <c r="I364">
        <v>10</v>
      </c>
      <c r="J364" t="s">
        <v>48</v>
      </c>
      <c r="K364" t="s">
        <v>14</v>
      </c>
      <c r="L364" t="s">
        <v>14</v>
      </c>
    </row>
    <row r="365" spans="1:12" x14ac:dyDescent="0.3">
      <c r="A365">
        <v>2364</v>
      </c>
      <c r="B365">
        <v>27</v>
      </c>
      <c r="C365" t="s">
        <v>34</v>
      </c>
      <c r="D365" t="s">
        <v>17</v>
      </c>
      <c r="E365" t="s">
        <v>53</v>
      </c>
      <c r="F365">
        <v>10</v>
      </c>
      <c r="G365">
        <v>1</v>
      </c>
      <c r="H365" t="s">
        <v>16</v>
      </c>
      <c r="I365">
        <v>11</v>
      </c>
      <c r="J365" t="s">
        <v>48</v>
      </c>
      <c r="K365" t="s">
        <v>14</v>
      </c>
      <c r="L365" t="s">
        <v>16</v>
      </c>
    </row>
    <row r="366" spans="1:12" x14ac:dyDescent="0.3">
      <c r="A366">
        <v>2365</v>
      </c>
      <c r="B366">
        <v>54</v>
      </c>
      <c r="C366" t="s">
        <v>34</v>
      </c>
      <c r="D366" t="s">
        <v>13</v>
      </c>
      <c r="E366" t="s">
        <v>32</v>
      </c>
      <c r="F366">
        <v>8</v>
      </c>
      <c r="G366">
        <v>1</v>
      </c>
      <c r="H366" t="s">
        <v>16</v>
      </c>
      <c r="I366">
        <v>6</v>
      </c>
      <c r="J366" t="s">
        <v>36</v>
      </c>
      <c r="K366" t="s">
        <v>16</v>
      </c>
      <c r="L366" t="s">
        <v>14</v>
      </c>
    </row>
    <row r="367" spans="1:12" x14ac:dyDescent="0.3">
      <c r="A367">
        <v>2366</v>
      </c>
      <c r="B367">
        <v>28</v>
      </c>
      <c r="C367" t="s">
        <v>38</v>
      </c>
      <c r="D367" t="s">
        <v>18</v>
      </c>
      <c r="E367" t="s">
        <v>52</v>
      </c>
      <c r="F367">
        <v>4</v>
      </c>
      <c r="G367">
        <v>2</v>
      </c>
      <c r="H367" t="s">
        <v>16</v>
      </c>
      <c r="I367">
        <v>4</v>
      </c>
      <c r="J367" t="s">
        <v>33</v>
      </c>
      <c r="K367" t="s">
        <v>16</v>
      </c>
      <c r="L367" t="s">
        <v>16</v>
      </c>
    </row>
    <row r="368" spans="1:12" x14ac:dyDescent="0.3">
      <c r="A368">
        <v>2367</v>
      </c>
      <c r="B368">
        <v>39</v>
      </c>
      <c r="C368" t="s">
        <v>38</v>
      </c>
      <c r="D368" t="s">
        <v>18</v>
      </c>
      <c r="E368" t="s">
        <v>52</v>
      </c>
      <c r="F368">
        <v>4</v>
      </c>
      <c r="G368">
        <v>3</v>
      </c>
      <c r="H368" t="s">
        <v>16</v>
      </c>
      <c r="I368">
        <v>9</v>
      </c>
      <c r="J368" t="s">
        <v>33</v>
      </c>
      <c r="K368" t="s">
        <v>16</v>
      </c>
      <c r="L368" t="s">
        <v>16</v>
      </c>
    </row>
    <row r="369" spans="1:12" x14ac:dyDescent="0.3">
      <c r="A369">
        <v>2368</v>
      </c>
      <c r="B369">
        <v>70</v>
      </c>
      <c r="C369" t="s">
        <v>38</v>
      </c>
      <c r="D369" t="s">
        <v>19</v>
      </c>
      <c r="E369" t="s">
        <v>45</v>
      </c>
      <c r="F369">
        <v>14</v>
      </c>
      <c r="G369">
        <v>1</v>
      </c>
      <c r="H369" t="s">
        <v>14</v>
      </c>
      <c r="I369">
        <v>11</v>
      </c>
      <c r="J369" t="s">
        <v>44</v>
      </c>
      <c r="K369" t="s">
        <v>16</v>
      </c>
      <c r="L369" t="s">
        <v>14</v>
      </c>
    </row>
    <row r="370" spans="1:12" x14ac:dyDescent="0.3">
      <c r="A370">
        <v>2369</v>
      </c>
      <c r="B370">
        <v>35</v>
      </c>
      <c r="C370" t="s">
        <v>38</v>
      </c>
      <c r="D370" t="s">
        <v>15</v>
      </c>
      <c r="E370" t="s">
        <v>37</v>
      </c>
      <c r="F370">
        <v>4</v>
      </c>
      <c r="G370">
        <v>1</v>
      </c>
      <c r="H370" t="s">
        <v>16</v>
      </c>
      <c r="I370">
        <v>8</v>
      </c>
      <c r="J370" t="s">
        <v>44</v>
      </c>
      <c r="K370" t="s">
        <v>16</v>
      </c>
      <c r="L370" t="s">
        <v>16</v>
      </c>
    </row>
    <row r="371" spans="1:12" x14ac:dyDescent="0.3">
      <c r="A371">
        <v>2370</v>
      </c>
      <c r="B371">
        <v>53</v>
      </c>
      <c r="C371" t="s">
        <v>31</v>
      </c>
      <c r="D371" t="s">
        <v>18</v>
      </c>
      <c r="E371" t="s">
        <v>51</v>
      </c>
      <c r="F371">
        <v>14</v>
      </c>
      <c r="G371">
        <v>1</v>
      </c>
      <c r="H371" t="s">
        <v>16</v>
      </c>
      <c r="I371">
        <v>4</v>
      </c>
      <c r="J371" t="s">
        <v>36</v>
      </c>
      <c r="K371" t="s">
        <v>16</v>
      </c>
      <c r="L371" t="s">
        <v>16</v>
      </c>
    </row>
    <row r="372" spans="1:12" x14ac:dyDescent="0.3">
      <c r="A372">
        <v>2371</v>
      </c>
      <c r="B372">
        <v>34</v>
      </c>
      <c r="C372" t="s">
        <v>38</v>
      </c>
      <c r="D372" t="s">
        <v>19</v>
      </c>
      <c r="E372" t="s">
        <v>46</v>
      </c>
      <c r="F372">
        <v>10</v>
      </c>
      <c r="G372">
        <v>0</v>
      </c>
      <c r="H372" t="s">
        <v>14</v>
      </c>
      <c r="I372">
        <v>3</v>
      </c>
      <c r="J372" t="s">
        <v>33</v>
      </c>
      <c r="K372" t="s">
        <v>14</v>
      </c>
      <c r="L372" t="s">
        <v>16</v>
      </c>
    </row>
    <row r="373" spans="1:12" x14ac:dyDescent="0.3">
      <c r="A373">
        <v>2372</v>
      </c>
      <c r="B373">
        <v>73</v>
      </c>
      <c r="C373" t="s">
        <v>38</v>
      </c>
      <c r="D373" t="s">
        <v>15</v>
      </c>
      <c r="E373" t="s">
        <v>37</v>
      </c>
      <c r="F373">
        <v>3</v>
      </c>
      <c r="G373">
        <v>1</v>
      </c>
      <c r="H373" t="s">
        <v>16</v>
      </c>
      <c r="I373">
        <v>5</v>
      </c>
      <c r="J373" t="s">
        <v>44</v>
      </c>
      <c r="K373" t="s">
        <v>14</v>
      </c>
      <c r="L373" t="s">
        <v>16</v>
      </c>
    </row>
    <row r="374" spans="1:12" x14ac:dyDescent="0.3">
      <c r="A374">
        <v>2373</v>
      </c>
      <c r="B374">
        <v>20</v>
      </c>
      <c r="C374" t="s">
        <v>34</v>
      </c>
      <c r="D374" t="s">
        <v>17</v>
      </c>
      <c r="E374" t="s">
        <v>49</v>
      </c>
      <c r="F374">
        <v>14</v>
      </c>
      <c r="G374">
        <v>0</v>
      </c>
      <c r="H374" t="s">
        <v>16</v>
      </c>
      <c r="I374">
        <v>7</v>
      </c>
      <c r="J374" t="s">
        <v>33</v>
      </c>
      <c r="K374" t="s">
        <v>14</v>
      </c>
      <c r="L374" t="s">
        <v>16</v>
      </c>
    </row>
    <row r="375" spans="1:12" x14ac:dyDescent="0.3">
      <c r="A375">
        <v>2374</v>
      </c>
      <c r="B375">
        <v>61</v>
      </c>
      <c r="C375" t="s">
        <v>34</v>
      </c>
      <c r="D375" t="s">
        <v>17</v>
      </c>
      <c r="E375" t="s">
        <v>49</v>
      </c>
      <c r="F375">
        <v>9</v>
      </c>
      <c r="G375">
        <v>2</v>
      </c>
      <c r="H375" t="s">
        <v>16</v>
      </c>
      <c r="I375">
        <v>7</v>
      </c>
      <c r="J375" t="s">
        <v>48</v>
      </c>
      <c r="K375" t="s">
        <v>16</v>
      </c>
      <c r="L375" t="s">
        <v>16</v>
      </c>
    </row>
    <row r="376" spans="1:12" x14ac:dyDescent="0.3">
      <c r="A376">
        <v>2375</v>
      </c>
      <c r="B376">
        <v>23</v>
      </c>
      <c r="C376" t="s">
        <v>31</v>
      </c>
      <c r="D376" t="s">
        <v>17</v>
      </c>
      <c r="E376" t="s">
        <v>42</v>
      </c>
      <c r="F376">
        <v>2</v>
      </c>
      <c r="G376">
        <v>3</v>
      </c>
      <c r="H376" t="s">
        <v>16</v>
      </c>
      <c r="I376">
        <v>9</v>
      </c>
      <c r="J376" t="s">
        <v>36</v>
      </c>
      <c r="K376" t="s">
        <v>14</v>
      </c>
      <c r="L376" t="s">
        <v>16</v>
      </c>
    </row>
    <row r="377" spans="1:12" x14ac:dyDescent="0.3">
      <c r="A377">
        <v>2376</v>
      </c>
      <c r="B377">
        <v>87</v>
      </c>
      <c r="C377" t="s">
        <v>38</v>
      </c>
      <c r="D377" t="s">
        <v>15</v>
      </c>
      <c r="E377" t="s">
        <v>37</v>
      </c>
      <c r="F377">
        <v>12</v>
      </c>
      <c r="G377">
        <v>0</v>
      </c>
      <c r="H377" t="s">
        <v>16</v>
      </c>
      <c r="I377">
        <v>6</v>
      </c>
      <c r="J377" t="s">
        <v>48</v>
      </c>
      <c r="K377" t="s">
        <v>14</v>
      </c>
      <c r="L377" t="s">
        <v>16</v>
      </c>
    </row>
    <row r="378" spans="1:12" x14ac:dyDescent="0.3">
      <c r="A378">
        <v>2377</v>
      </c>
      <c r="B378">
        <v>51</v>
      </c>
      <c r="C378" t="s">
        <v>38</v>
      </c>
      <c r="D378" t="s">
        <v>19</v>
      </c>
      <c r="E378" t="s">
        <v>45</v>
      </c>
      <c r="F378">
        <v>10</v>
      </c>
      <c r="G378">
        <v>2</v>
      </c>
      <c r="H378" t="s">
        <v>16</v>
      </c>
      <c r="I378">
        <v>9</v>
      </c>
      <c r="J378" t="s">
        <v>48</v>
      </c>
      <c r="K378" t="s">
        <v>14</v>
      </c>
      <c r="L378" t="s">
        <v>16</v>
      </c>
    </row>
    <row r="379" spans="1:12" x14ac:dyDescent="0.3">
      <c r="A379">
        <v>2378</v>
      </c>
      <c r="B379">
        <v>45</v>
      </c>
      <c r="C379" t="s">
        <v>34</v>
      </c>
      <c r="D379" t="s">
        <v>18</v>
      </c>
      <c r="E379" t="s">
        <v>52</v>
      </c>
      <c r="F379">
        <v>8</v>
      </c>
      <c r="G379">
        <v>1</v>
      </c>
      <c r="H379" t="s">
        <v>16</v>
      </c>
      <c r="I379">
        <v>12</v>
      </c>
      <c r="J379" t="s">
        <v>33</v>
      </c>
      <c r="K379" t="s">
        <v>14</v>
      </c>
      <c r="L379" t="s">
        <v>16</v>
      </c>
    </row>
    <row r="380" spans="1:12" x14ac:dyDescent="0.3">
      <c r="A380">
        <v>2379</v>
      </c>
      <c r="B380">
        <v>68</v>
      </c>
      <c r="C380" t="s">
        <v>38</v>
      </c>
      <c r="D380" t="s">
        <v>15</v>
      </c>
      <c r="E380" t="s">
        <v>37</v>
      </c>
      <c r="F380">
        <v>8</v>
      </c>
      <c r="G380">
        <v>1</v>
      </c>
      <c r="H380" t="s">
        <v>14</v>
      </c>
      <c r="I380">
        <v>3</v>
      </c>
      <c r="J380" t="s">
        <v>48</v>
      </c>
      <c r="K380" t="s">
        <v>14</v>
      </c>
      <c r="L380" t="s">
        <v>14</v>
      </c>
    </row>
    <row r="381" spans="1:12" x14ac:dyDescent="0.3">
      <c r="A381">
        <v>2380</v>
      </c>
      <c r="B381">
        <v>63</v>
      </c>
      <c r="C381" t="s">
        <v>34</v>
      </c>
      <c r="D381" t="s">
        <v>13</v>
      </c>
      <c r="E381" t="s">
        <v>32</v>
      </c>
      <c r="F381">
        <v>14</v>
      </c>
      <c r="G381">
        <v>1</v>
      </c>
      <c r="H381" t="s">
        <v>16</v>
      </c>
      <c r="I381">
        <v>7</v>
      </c>
      <c r="J381" t="s">
        <v>33</v>
      </c>
      <c r="K381" t="s">
        <v>14</v>
      </c>
      <c r="L381" t="s">
        <v>16</v>
      </c>
    </row>
    <row r="382" spans="1:12" x14ac:dyDescent="0.3">
      <c r="A382">
        <v>2381</v>
      </c>
      <c r="B382">
        <v>68</v>
      </c>
      <c r="C382" t="s">
        <v>38</v>
      </c>
      <c r="D382" t="s">
        <v>13</v>
      </c>
      <c r="E382" t="s">
        <v>32</v>
      </c>
      <c r="F382">
        <v>4</v>
      </c>
      <c r="G382">
        <v>1</v>
      </c>
      <c r="H382" t="s">
        <v>16</v>
      </c>
      <c r="I382">
        <v>14</v>
      </c>
      <c r="J382" t="s">
        <v>33</v>
      </c>
      <c r="K382" t="s">
        <v>14</v>
      </c>
      <c r="L382" t="s">
        <v>16</v>
      </c>
    </row>
    <row r="383" spans="1:12" x14ac:dyDescent="0.3">
      <c r="A383">
        <v>2382</v>
      </c>
      <c r="B383">
        <v>60</v>
      </c>
      <c r="C383" t="s">
        <v>38</v>
      </c>
      <c r="D383" t="s">
        <v>19</v>
      </c>
      <c r="E383" t="s">
        <v>46</v>
      </c>
      <c r="F383">
        <v>11</v>
      </c>
      <c r="G383">
        <v>1</v>
      </c>
      <c r="H383" t="s">
        <v>14</v>
      </c>
      <c r="I383">
        <v>13</v>
      </c>
      <c r="J383" t="s">
        <v>33</v>
      </c>
      <c r="K383" t="s">
        <v>14</v>
      </c>
      <c r="L383" t="s">
        <v>16</v>
      </c>
    </row>
    <row r="384" spans="1:12" x14ac:dyDescent="0.3">
      <c r="A384">
        <v>2383</v>
      </c>
      <c r="B384">
        <v>47</v>
      </c>
      <c r="C384" t="s">
        <v>38</v>
      </c>
      <c r="D384" t="s">
        <v>15</v>
      </c>
      <c r="E384" t="s">
        <v>39</v>
      </c>
      <c r="F384">
        <v>6</v>
      </c>
      <c r="G384">
        <v>2</v>
      </c>
      <c r="H384" t="s">
        <v>16</v>
      </c>
      <c r="I384">
        <v>9</v>
      </c>
      <c r="J384" t="s">
        <v>33</v>
      </c>
      <c r="K384" t="s">
        <v>14</v>
      </c>
      <c r="L384" t="s">
        <v>16</v>
      </c>
    </row>
    <row r="385" spans="1:12" x14ac:dyDescent="0.3">
      <c r="A385">
        <v>2384</v>
      </c>
      <c r="B385">
        <v>26</v>
      </c>
      <c r="C385" t="s">
        <v>34</v>
      </c>
      <c r="D385" t="s">
        <v>19</v>
      </c>
      <c r="E385" t="s">
        <v>46</v>
      </c>
      <c r="F385">
        <v>2</v>
      </c>
      <c r="G385">
        <v>1</v>
      </c>
      <c r="H385" t="s">
        <v>16</v>
      </c>
      <c r="I385">
        <v>10</v>
      </c>
      <c r="J385" t="s">
        <v>44</v>
      </c>
      <c r="K385" t="s">
        <v>16</v>
      </c>
      <c r="L385" t="s">
        <v>16</v>
      </c>
    </row>
    <row r="386" spans="1:12" x14ac:dyDescent="0.3">
      <c r="A386">
        <v>2385</v>
      </c>
      <c r="B386">
        <v>52</v>
      </c>
      <c r="C386" t="s">
        <v>38</v>
      </c>
      <c r="D386" t="s">
        <v>19</v>
      </c>
      <c r="E386" t="s">
        <v>45</v>
      </c>
      <c r="F386">
        <v>7</v>
      </c>
      <c r="G386">
        <v>2</v>
      </c>
      <c r="H386" t="s">
        <v>14</v>
      </c>
      <c r="I386">
        <v>3</v>
      </c>
      <c r="J386" t="s">
        <v>33</v>
      </c>
      <c r="K386" t="s">
        <v>16</v>
      </c>
      <c r="L386" t="s">
        <v>14</v>
      </c>
    </row>
    <row r="387" spans="1:12" x14ac:dyDescent="0.3">
      <c r="A387">
        <v>2386</v>
      </c>
      <c r="B387">
        <v>66</v>
      </c>
      <c r="C387" t="s">
        <v>38</v>
      </c>
      <c r="D387" t="s">
        <v>15</v>
      </c>
      <c r="E387" t="s">
        <v>37</v>
      </c>
      <c r="F387">
        <v>6</v>
      </c>
      <c r="G387">
        <v>2</v>
      </c>
      <c r="H387" t="s">
        <v>16</v>
      </c>
      <c r="I387">
        <v>11</v>
      </c>
      <c r="J387" t="s">
        <v>33</v>
      </c>
      <c r="K387" t="s">
        <v>14</v>
      </c>
      <c r="L387" t="s">
        <v>16</v>
      </c>
    </row>
    <row r="388" spans="1:12" x14ac:dyDescent="0.3">
      <c r="A388">
        <v>2387</v>
      </c>
      <c r="B388">
        <v>61</v>
      </c>
      <c r="C388" t="s">
        <v>34</v>
      </c>
      <c r="D388" t="s">
        <v>19</v>
      </c>
      <c r="E388" t="s">
        <v>46</v>
      </c>
      <c r="F388">
        <v>9</v>
      </c>
      <c r="G388">
        <v>1</v>
      </c>
      <c r="H388" t="s">
        <v>16</v>
      </c>
      <c r="I388">
        <v>14</v>
      </c>
      <c r="J388" t="s">
        <v>33</v>
      </c>
      <c r="K388" t="s">
        <v>16</v>
      </c>
      <c r="L388" t="s">
        <v>14</v>
      </c>
    </row>
    <row r="389" spans="1:12" x14ac:dyDescent="0.3">
      <c r="A389">
        <v>2388</v>
      </c>
      <c r="B389">
        <v>62</v>
      </c>
      <c r="C389" t="s">
        <v>38</v>
      </c>
      <c r="D389" t="s">
        <v>15</v>
      </c>
      <c r="E389" t="s">
        <v>37</v>
      </c>
      <c r="F389">
        <v>10</v>
      </c>
      <c r="G389">
        <v>2</v>
      </c>
      <c r="H389" t="s">
        <v>16</v>
      </c>
      <c r="I389">
        <v>3</v>
      </c>
      <c r="J389" t="s">
        <v>33</v>
      </c>
      <c r="K389" t="s">
        <v>14</v>
      </c>
      <c r="L389" t="s">
        <v>16</v>
      </c>
    </row>
    <row r="390" spans="1:12" x14ac:dyDescent="0.3">
      <c r="A390">
        <v>2389</v>
      </c>
      <c r="B390">
        <v>50</v>
      </c>
      <c r="C390" t="s">
        <v>34</v>
      </c>
      <c r="D390" t="s">
        <v>17</v>
      </c>
      <c r="E390" t="s">
        <v>42</v>
      </c>
      <c r="F390">
        <v>13</v>
      </c>
      <c r="G390">
        <v>1</v>
      </c>
      <c r="H390" t="s">
        <v>14</v>
      </c>
      <c r="I390">
        <v>2</v>
      </c>
      <c r="J390" t="s">
        <v>44</v>
      </c>
      <c r="K390" t="s">
        <v>14</v>
      </c>
      <c r="L390" t="s">
        <v>16</v>
      </c>
    </row>
    <row r="391" spans="1:12" x14ac:dyDescent="0.3">
      <c r="A391">
        <v>2390</v>
      </c>
      <c r="B391">
        <v>73</v>
      </c>
      <c r="C391" t="s">
        <v>34</v>
      </c>
      <c r="D391" t="s">
        <v>15</v>
      </c>
      <c r="E391" t="s">
        <v>39</v>
      </c>
      <c r="F391">
        <v>3</v>
      </c>
      <c r="G391">
        <v>1</v>
      </c>
      <c r="H391" t="s">
        <v>16</v>
      </c>
      <c r="I391">
        <v>9</v>
      </c>
      <c r="J391" t="s">
        <v>48</v>
      </c>
      <c r="K391" t="s">
        <v>16</v>
      </c>
      <c r="L391" t="s">
        <v>16</v>
      </c>
    </row>
    <row r="392" spans="1:12" x14ac:dyDescent="0.3">
      <c r="A392">
        <v>2391</v>
      </c>
      <c r="B392">
        <v>44</v>
      </c>
      <c r="C392" t="s">
        <v>34</v>
      </c>
      <c r="D392" t="s">
        <v>19</v>
      </c>
      <c r="E392" t="s">
        <v>45</v>
      </c>
      <c r="F392">
        <v>13</v>
      </c>
      <c r="G392">
        <v>0</v>
      </c>
      <c r="H392" t="s">
        <v>14</v>
      </c>
      <c r="I392">
        <v>14</v>
      </c>
      <c r="J392" t="s">
        <v>36</v>
      </c>
      <c r="K392" t="s">
        <v>16</v>
      </c>
      <c r="L392" t="s">
        <v>14</v>
      </c>
    </row>
    <row r="393" spans="1:12" x14ac:dyDescent="0.3">
      <c r="A393">
        <v>2392</v>
      </c>
      <c r="B393">
        <v>31</v>
      </c>
      <c r="C393" t="s">
        <v>38</v>
      </c>
      <c r="D393" t="s">
        <v>15</v>
      </c>
      <c r="E393" t="s">
        <v>40</v>
      </c>
      <c r="F393">
        <v>13</v>
      </c>
      <c r="G393">
        <v>1</v>
      </c>
      <c r="H393" t="s">
        <v>14</v>
      </c>
      <c r="I393">
        <v>10</v>
      </c>
      <c r="J393" t="s">
        <v>33</v>
      </c>
      <c r="K393" t="s">
        <v>16</v>
      </c>
      <c r="L393" t="s">
        <v>14</v>
      </c>
    </row>
    <row r="394" spans="1:12" x14ac:dyDescent="0.3">
      <c r="A394">
        <v>2393</v>
      </c>
      <c r="B394">
        <v>36</v>
      </c>
      <c r="C394" t="s">
        <v>34</v>
      </c>
      <c r="D394" t="s">
        <v>13</v>
      </c>
      <c r="E394" t="s">
        <v>35</v>
      </c>
      <c r="F394">
        <v>7</v>
      </c>
      <c r="G394">
        <v>0</v>
      </c>
      <c r="H394" t="s">
        <v>16</v>
      </c>
      <c r="I394">
        <v>10</v>
      </c>
      <c r="J394" t="s">
        <v>44</v>
      </c>
      <c r="K394" t="s">
        <v>14</v>
      </c>
      <c r="L394" t="s">
        <v>16</v>
      </c>
    </row>
    <row r="395" spans="1:12" x14ac:dyDescent="0.3">
      <c r="A395">
        <v>2394</v>
      </c>
      <c r="B395">
        <v>27</v>
      </c>
      <c r="C395" t="s">
        <v>34</v>
      </c>
      <c r="D395" t="s">
        <v>15</v>
      </c>
      <c r="E395" t="s">
        <v>37</v>
      </c>
      <c r="F395">
        <v>12</v>
      </c>
      <c r="G395">
        <v>0</v>
      </c>
      <c r="H395" t="s">
        <v>16</v>
      </c>
      <c r="I395">
        <v>4</v>
      </c>
      <c r="J395" t="s">
        <v>48</v>
      </c>
      <c r="K395" t="s">
        <v>16</v>
      </c>
      <c r="L395" t="s">
        <v>16</v>
      </c>
    </row>
    <row r="396" spans="1:12" x14ac:dyDescent="0.3">
      <c r="A396">
        <v>2395</v>
      </c>
      <c r="B396">
        <v>77</v>
      </c>
      <c r="C396" t="s">
        <v>34</v>
      </c>
      <c r="D396" t="s">
        <v>15</v>
      </c>
      <c r="E396" t="s">
        <v>37</v>
      </c>
      <c r="F396">
        <v>6</v>
      </c>
      <c r="G396">
        <v>1</v>
      </c>
      <c r="H396" t="s">
        <v>14</v>
      </c>
      <c r="I396">
        <v>2</v>
      </c>
      <c r="J396" t="s">
        <v>48</v>
      </c>
      <c r="K396" t="s">
        <v>14</v>
      </c>
      <c r="L396" t="s">
        <v>16</v>
      </c>
    </row>
    <row r="397" spans="1:12" x14ac:dyDescent="0.3">
      <c r="A397">
        <v>2396</v>
      </c>
      <c r="B397">
        <v>31</v>
      </c>
      <c r="C397" t="s">
        <v>34</v>
      </c>
      <c r="D397" t="s">
        <v>18</v>
      </c>
      <c r="E397" t="s">
        <v>51</v>
      </c>
      <c r="F397">
        <v>10</v>
      </c>
      <c r="G397">
        <v>1</v>
      </c>
      <c r="H397" t="s">
        <v>16</v>
      </c>
      <c r="I397">
        <v>11</v>
      </c>
      <c r="J397" t="s">
        <v>33</v>
      </c>
      <c r="K397" t="s">
        <v>14</v>
      </c>
      <c r="L397" t="s">
        <v>16</v>
      </c>
    </row>
    <row r="398" spans="1:12" x14ac:dyDescent="0.3">
      <c r="A398">
        <v>2397</v>
      </c>
      <c r="B398">
        <v>53</v>
      </c>
      <c r="C398" t="s">
        <v>38</v>
      </c>
      <c r="D398" t="s">
        <v>13</v>
      </c>
      <c r="E398" t="s">
        <v>43</v>
      </c>
      <c r="F398">
        <v>9</v>
      </c>
      <c r="G398">
        <v>2</v>
      </c>
      <c r="H398" t="s">
        <v>16</v>
      </c>
      <c r="I398">
        <v>9</v>
      </c>
      <c r="J398" t="s">
        <v>44</v>
      </c>
      <c r="K398" t="s">
        <v>14</v>
      </c>
      <c r="L398" t="s">
        <v>16</v>
      </c>
    </row>
    <row r="399" spans="1:12" x14ac:dyDescent="0.3">
      <c r="A399">
        <v>2398</v>
      </c>
      <c r="B399">
        <v>68</v>
      </c>
      <c r="C399" t="s">
        <v>38</v>
      </c>
      <c r="D399" t="s">
        <v>13</v>
      </c>
      <c r="E399" t="s">
        <v>35</v>
      </c>
      <c r="F399">
        <v>3</v>
      </c>
      <c r="G399">
        <v>0</v>
      </c>
      <c r="H399" t="s">
        <v>14</v>
      </c>
      <c r="I399">
        <v>7</v>
      </c>
      <c r="J399" t="s">
        <v>36</v>
      </c>
      <c r="K399" t="s">
        <v>14</v>
      </c>
      <c r="L399" t="s">
        <v>16</v>
      </c>
    </row>
    <row r="400" spans="1:12" x14ac:dyDescent="0.3">
      <c r="A400">
        <v>2399</v>
      </c>
      <c r="B400">
        <v>67</v>
      </c>
      <c r="C400" t="s">
        <v>34</v>
      </c>
      <c r="D400" t="s">
        <v>19</v>
      </c>
      <c r="E400" t="s">
        <v>46</v>
      </c>
      <c r="F400">
        <v>13</v>
      </c>
      <c r="G400">
        <v>1</v>
      </c>
      <c r="H400" t="s">
        <v>14</v>
      </c>
      <c r="I400">
        <v>3</v>
      </c>
      <c r="J400" t="s">
        <v>44</v>
      </c>
      <c r="K400" t="s">
        <v>14</v>
      </c>
      <c r="L400" t="s">
        <v>16</v>
      </c>
    </row>
    <row r="401" spans="1:12" x14ac:dyDescent="0.3">
      <c r="A401">
        <v>2400</v>
      </c>
      <c r="B401">
        <v>38</v>
      </c>
      <c r="C401" t="s">
        <v>38</v>
      </c>
      <c r="D401" t="s">
        <v>17</v>
      </c>
      <c r="E401" t="s">
        <v>42</v>
      </c>
      <c r="F401">
        <v>14</v>
      </c>
      <c r="G401">
        <v>0</v>
      </c>
      <c r="H401" t="s">
        <v>14</v>
      </c>
      <c r="I401">
        <v>11</v>
      </c>
      <c r="J401" t="s">
        <v>44</v>
      </c>
      <c r="K401" t="s">
        <v>14</v>
      </c>
      <c r="L401" t="s">
        <v>14</v>
      </c>
    </row>
    <row r="402" spans="1:12" x14ac:dyDescent="0.3">
      <c r="A402">
        <v>2401</v>
      </c>
      <c r="B402">
        <v>36</v>
      </c>
      <c r="C402" t="s">
        <v>34</v>
      </c>
      <c r="D402" t="s">
        <v>19</v>
      </c>
      <c r="E402" t="s">
        <v>41</v>
      </c>
      <c r="F402">
        <v>2</v>
      </c>
      <c r="G402">
        <v>3</v>
      </c>
      <c r="H402" t="s">
        <v>16</v>
      </c>
      <c r="I402">
        <v>1</v>
      </c>
      <c r="J402" t="s">
        <v>33</v>
      </c>
      <c r="K402" t="s">
        <v>14</v>
      </c>
      <c r="L402" t="s">
        <v>16</v>
      </c>
    </row>
    <row r="403" spans="1:12" x14ac:dyDescent="0.3">
      <c r="A403">
        <v>2402</v>
      </c>
      <c r="B403">
        <v>66</v>
      </c>
      <c r="C403" t="s">
        <v>38</v>
      </c>
      <c r="D403" t="s">
        <v>19</v>
      </c>
      <c r="E403" t="s">
        <v>45</v>
      </c>
      <c r="F403">
        <v>6</v>
      </c>
      <c r="G403">
        <v>2</v>
      </c>
      <c r="H403" t="s">
        <v>14</v>
      </c>
      <c r="I403">
        <v>4</v>
      </c>
      <c r="J403" t="s">
        <v>33</v>
      </c>
      <c r="K403" t="s">
        <v>14</v>
      </c>
      <c r="L403" t="s">
        <v>16</v>
      </c>
    </row>
    <row r="404" spans="1:12" x14ac:dyDescent="0.3">
      <c r="A404">
        <v>2403</v>
      </c>
      <c r="B404">
        <v>31</v>
      </c>
      <c r="C404" t="s">
        <v>34</v>
      </c>
      <c r="D404" t="s">
        <v>15</v>
      </c>
      <c r="E404" t="s">
        <v>37</v>
      </c>
      <c r="F404">
        <v>5</v>
      </c>
      <c r="G404">
        <v>0</v>
      </c>
      <c r="H404" t="s">
        <v>16</v>
      </c>
      <c r="I404">
        <v>14</v>
      </c>
      <c r="J404" t="s">
        <v>33</v>
      </c>
      <c r="K404" t="s">
        <v>14</v>
      </c>
      <c r="L404" t="s">
        <v>16</v>
      </c>
    </row>
    <row r="405" spans="1:12" x14ac:dyDescent="0.3">
      <c r="A405">
        <v>2404</v>
      </c>
      <c r="B405">
        <v>42</v>
      </c>
      <c r="C405" t="s">
        <v>34</v>
      </c>
      <c r="D405" t="s">
        <v>13</v>
      </c>
      <c r="E405" t="s">
        <v>35</v>
      </c>
      <c r="F405">
        <v>14</v>
      </c>
      <c r="G405">
        <v>0</v>
      </c>
      <c r="H405" t="s">
        <v>14</v>
      </c>
      <c r="I405">
        <v>2</v>
      </c>
      <c r="J405" t="s">
        <v>33</v>
      </c>
      <c r="K405" t="s">
        <v>16</v>
      </c>
      <c r="L405" t="s">
        <v>14</v>
      </c>
    </row>
    <row r="406" spans="1:12" x14ac:dyDescent="0.3">
      <c r="A406">
        <v>2405</v>
      </c>
      <c r="B406">
        <v>74</v>
      </c>
      <c r="C406" t="s">
        <v>38</v>
      </c>
      <c r="D406" t="s">
        <v>18</v>
      </c>
      <c r="E406" t="s">
        <v>51</v>
      </c>
      <c r="F406">
        <v>8</v>
      </c>
      <c r="G406">
        <v>0</v>
      </c>
      <c r="H406" t="s">
        <v>16</v>
      </c>
      <c r="I406">
        <v>13</v>
      </c>
      <c r="J406" t="s">
        <v>48</v>
      </c>
      <c r="K406" t="s">
        <v>14</v>
      </c>
      <c r="L406" t="s">
        <v>16</v>
      </c>
    </row>
    <row r="407" spans="1:12" x14ac:dyDescent="0.3">
      <c r="A407">
        <v>2406</v>
      </c>
      <c r="B407">
        <v>50</v>
      </c>
      <c r="C407" t="s">
        <v>38</v>
      </c>
      <c r="D407" t="s">
        <v>15</v>
      </c>
      <c r="E407" t="s">
        <v>40</v>
      </c>
      <c r="F407">
        <v>2</v>
      </c>
      <c r="G407">
        <v>1</v>
      </c>
      <c r="H407" t="s">
        <v>16</v>
      </c>
      <c r="I407">
        <v>1</v>
      </c>
      <c r="J407" t="s">
        <v>33</v>
      </c>
      <c r="K407" t="s">
        <v>16</v>
      </c>
      <c r="L407" t="s">
        <v>14</v>
      </c>
    </row>
    <row r="408" spans="1:12" x14ac:dyDescent="0.3">
      <c r="A408">
        <v>2407</v>
      </c>
      <c r="B408">
        <v>85</v>
      </c>
      <c r="C408" t="s">
        <v>38</v>
      </c>
      <c r="D408" t="s">
        <v>13</v>
      </c>
      <c r="E408" t="s">
        <v>43</v>
      </c>
      <c r="F408">
        <v>9</v>
      </c>
      <c r="G408">
        <v>3</v>
      </c>
      <c r="H408" t="s">
        <v>16</v>
      </c>
      <c r="I408">
        <v>7</v>
      </c>
      <c r="J408" t="s">
        <v>48</v>
      </c>
      <c r="K408" t="s">
        <v>14</v>
      </c>
      <c r="L408" t="s">
        <v>16</v>
      </c>
    </row>
    <row r="409" spans="1:12" x14ac:dyDescent="0.3">
      <c r="A409">
        <v>2408</v>
      </c>
      <c r="B409">
        <v>39</v>
      </c>
      <c r="C409" t="s">
        <v>38</v>
      </c>
      <c r="D409" t="s">
        <v>13</v>
      </c>
      <c r="E409" t="s">
        <v>32</v>
      </c>
      <c r="F409">
        <v>5</v>
      </c>
      <c r="G409">
        <v>1</v>
      </c>
      <c r="H409" t="s">
        <v>16</v>
      </c>
      <c r="I409">
        <v>6</v>
      </c>
      <c r="J409" t="s">
        <v>33</v>
      </c>
      <c r="K409" t="s">
        <v>16</v>
      </c>
      <c r="L409" t="s">
        <v>16</v>
      </c>
    </row>
    <row r="410" spans="1:12" x14ac:dyDescent="0.3">
      <c r="A410">
        <v>2409</v>
      </c>
      <c r="B410">
        <v>62</v>
      </c>
      <c r="C410" t="s">
        <v>38</v>
      </c>
      <c r="D410" t="s">
        <v>18</v>
      </c>
      <c r="E410" t="s">
        <v>51</v>
      </c>
      <c r="F410">
        <v>6</v>
      </c>
      <c r="G410">
        <v>3</v>
      </c>
      <c r="H410" t="s">
        <v>16</v>
      </c>
      <c r="I410">
        <v>12</v>
      </c>
      <c r="J410" t="s">
        <v>44</v>
      </c>
      <c r="K410" t="s">
        <v>16</v>
      </c>
      <c r="L410" t="s">
        <v>16</v>
      </c>
    </row>
    <row r="411" spans="1:12" x14ac:dyDescent="0.3">
      <c r="A411">
        <v>2410</v>
      </c>
      <c r="B411">
        <v>47</v>
      </c>
      <c r="C411" t="s">
        <v>34</v>
      </c>
      <c r="D411" t="s">
        <v>19</v>
      </c>
      <c r="E411" t="s">
        <v>41</v>
      </c>
      <c r="F411">
        <v>4</v>
      </c>
      <c r="G411">
        <v>1</v>
      </c>
      <c r="H411" t="s">
        <v>14</v>
      </c>
      <c r="I411">
        <v>9</v>
      </c>
      <c r="J411" t="s">
        <v>33</v>
      </c>
      <c r="K411" t="s">
        <v>16</v>
      </c>
      <c r="L411" t="s">
        <v>16</v>
      </c>
    </row>
    <row r="412" spans="1:12" x14ac:dyDescent="0.3">
      <c r="A412">
        <v>2411</v>
      </c>
      <c r="B412">
        <v>36</v>
      </c>
      <c r="C412" t="s">
        <v>38</v>
      </c>
      <c r="D412" t="s">
        <v>19</v>
      </c>
      <c r="E412" t="s">
        <v>41</v>
      </c>
      <c r="F412">
        <v>11</v>
      </c>
      <c r="G412">
        <v>0</v>
      </c>
      <c r="H412" t="s">
        <v>16</v>
      </c>
      <c r="I412">
        <v>1</v>
      </c>
      <c r="J412" t="s">
        <v>33</v>
      </c>
      <c r="K412" t="s">
        <v>14</v>
      </c>
      <c r="L412" t="s">
        <v>16</v>
      </c>
    </row>
    <row r="413" spans="1:12" x14ac:dyDescent="0.3">
      <c r="A413">
        <v>2412</v>
      </c>
      <c r="B413">
        <v>56</v>
      </c>
      <c r="C413" t="s">
        <v>34</v>
      </c>
      <c r="D413" t="s">
        <v>13</v>
      </c>
      <c r="E413" t="s">
        <v>32</v>
      </c>
      <c r="F413">
        <v>3</v>
      </c>
      <c r="G413">
        <v>3</v>
      </c>
      <c r="H413" t="s">
        <v>16</v>
      </c>
      <c r="I413">
        <v>2</v>
      </c>
      <c r="J413" t="s">
        <v>33</v>
      </c>
      <c r="K413" t="s">
        <v>16</v>
      </c>
      <c r="L413" t="s">
        <v>16</v>
      </c>
    </row>
    <row r="414" spans="1:12" x14ac:dyDescent="0.3">
      <c r="A414">
        <v>2413</v>
      </c>
      <c r="B414">
        <v>77</v>
      </c>
      <c r="C414" t="s">
        <v>31</v>
      </c>
      <c r="D414" t="s">
        <v>15</v>
      </c>
      <c r="E414" t="s">
        <v>39</v>
      </c>
      <c r="F414">
        <v>5</v>
      </c>
      <c r="G414">
        <v>2</v>
      </c>
      <c r="H414" t="s">
        <v>16</v>
      </c>
      <c r="I414">
        <v>6</v>
      </c>
      <c r="J414" t="s">
        <v>33</v>
      </c>
      <c r="K414" t="s">
        <v>14</v>
      </c>
      <c r="L414" t="s">
        <v>16</v>
      </c>
    </row>
    <row r="415" spans="1:12" x14ac:dyDescent="0.3">
      <c r="A415">
        <v>2414</v>
      </c>
      <c r="B415">
        <v>88</v>
      </c>
      <c r="C415" t="s">
        <v>38</v>
      </c>
      <c r="D415" t="s">
        <v>18</v>
      </c>
      <c r="E415" t="s">
        <v>50</v>
      </c>
      <c r="F415">
        <v>10</v>
      </c>
      <c r="G415">
        <v>0</v>
      </c>
      <c r="H415" t="s">
        <v>16</v>
      </c>
      <c r="I415">
        <v>14</v>
      </c>
      <c r="J415" t="s">
        <v>33</v>
      </c>
      <c r="K415" t="s">
        <v>16</v>
      </c>
      <c r="L415" t="s">
        <v>16</v>
      </c>
    </row>
    <row r="416" spans="1:12" x14ac:dyDescent="0.3">
      <c r="A416">
        <v>2415</v>
      </c>
      <c r="B416">
        <v>77</v>
      </c>
      <c r="C416" t="s">
        <v>38</v>
      </c>
      <c r="D416" t="s">
        <v>13</v>
      </c>
      <c r="E416" t="s">
        <v>43</v>
      </c>
      <c r="F416">
        <v>2</v>
      </c>
      <c r="G416">
        <v>1</v>
      </c>
      <c r="H416" t="s">
        <v>16</v>
      </c>
      <c r="I416">
        <v>3</v>
      </c>
      <c r="J416" t="s">
        <v>33</v>
      </c>
      <c r="K416" t="s">
        <v>14</v>
      </c>
      <c r="L416" t="s">
        <v>16</v>
      </c>
    </row>
    <row r="417" spans="1:12" x14ac:dyDescent="0.3">
      <c r="A417">
        <v>2416</v>
      </c>
      <c r="B417">
        <v>75</v>
      </c>
      <c r="C417" t="s">
        <v>34</v>
      </c>
      <c r="D417" t="s">
        <v>19</v>
      </c>
      <c r="E417" t="s">
        <v>41</v>
      </c>
      <c r="F417">
        <v>1</v>
      </c>
      <c r="G417">
        <v>0</v>
      </c>
      <c r="H417" t="s">
        <v>16</v>
      </c>
      <c r="I417">
        <v>3</v>
      </c>
      <c r="J417" t="s">
        <v>48</v>
      </c>
      <c r="K417" t="s">
        <v>16</v>
      </c>
      <c r="L417" t="s">
        <v>16</v>
      </c>
    </row>
    <row r="418" spans="1:12" x14ac:dyDescent="0.3">
      <c r="A418">
        <v>2417</v>
      </c>
      <c r="B418">
        <v>62</v>
      </c>
      <c r="C418" t="s">
        <v>34</v>
      </c>
      <c r="D418" t="s">
        <v>19</v>
      </c>
      <c r="E418" t="s">
        <v>41</v>
      </c>
      <c r="F418">
        <v>8</v>
      </c>
      <c r="G418">
        <v>3</v>
      </c>
      <c r="H418" t="s">
        <v>16</v>
      </c>
      <c r="I418">
        <v>3</v>
      </c>
      <c r="J418" t="s">
        <v>33</v>
      </c>
      <c r="K418" t="s">
        <v>14</v>
      </c>
      <c r="L418" t="s">
        <v>16</v>
      </c>
    </row>
    <row r="419" spans="1:12" x14ac:dyDescent="0.3">
      <c r="A419">
        <v>2418</v>
      </c>
      <c r="B419">
        <v>45</v>
      </c>
      <c r="C419" t="s">
        <v>38</v>
      </c>
      <c r="D419" t="s">
        <v>15</v>
      </c>
      <c r="E419" t="s">
        <v>37</v>
      </c>
      <c r="F419">
        <v>6</v>
      </c>
      <c r="G419">
        <v>1</v>
      </c>
      <c r="H419" t="s">
        <v>16</v>
      </c>
      <c r="I419">
        <v>4</v>
      </c>
      <c r="J419" t="s">
        <v>48</v>
      </c>
      <c r="K419" t="s">
        <v>14</v>
      </c>
      <c r="L419" t="s">
        <v>16</v>
      </c>
    </row>
    <row r="420" spans="1:12" x14ac:dyDescent="0.3">
      <c r="A420">
        <v>2419</v>
      </c>
      <c r="B420">
        <v>56</v>
      </c>
      <c r="C420" t="s">
        <v>34</v>
      </c>
      <c r="D420" t="s">
        <v>19</v>
      </c>
      <c r="E420" t="s">
        <v>46</v>
      </c>
      <c r="F420">
        <v>3</v>
      </c>
      <c r="G420">
        <v>1</v>
      </c>
      <c r="H420" t="s">
        <v>16</v>
      </c>
      <c r="I420">
        <v>12</v>
      </c>
      <c r="J420" t="s">
        <v>36</v>
      </c>
      <c r="K420" t="s">
        <v>14</v>
      </c>
      <c r="L420" t="s">
        <v>16</v>
      </c>
    </row>
    <row r="421" spans="1:12" x14ac:dyDescent="0.3">
      <c r="A421">
        <v>2420</v>
      </c>
      <c r="B421">
        <v>35</v>
      </c>
      <c r="C421" t="s">
        <v>38</v>
      </c>
      <c r="D421" t="s">
        <v>13</v>
      </c>
      <c r="E421" t="s">
        <v>35</v>
      </c>
      <c r="F421">
        <v>12</v>
      </c>
      <c r="G421">
        <v>1</v>
      </c>
      <c r="H421" t="s">
        <v>14</v>
      </c>
      <c r="I421">
        <v>5</v>
      </c>
      <c r="J421" t="s">
        <v>33</v>
      </c>
      <c r="K421" t="s">
        <v>16</v>
      </c>
      <c r="L421" t="s">
        <v>14</v>
      </c>
    </row>
    <row r="422" spans="1:12" x14ac:dyDescent="0.3">
      <c r="A422">
        <v>2379</v>
      </c>
      <c r="B422">
        <v>68</v>
      </c>
      <c r="C422" t="s">
        <v>38</v>
      </c>
      <c r="D422" t="s">
        <v>15</v>
      </c>
      <c r="E422" t="s">
        <v>37</v>
      </c>
      <c r="F422">
        <v>8</v>
      </c>
      <c r="G422">
        <v>1</v>
      </c>
      <c r="H422" t="s">
        <v>14</v>
      </c>
      <c r="I422">
        <v>3</v>
      </c>
      <c r="J422" t="s">
        <v>48</v>
      </c>
      <c r="K422" t="s">
        <v>14</v>
      </c>
      <c r="L422" t="s">
        <v>14</v>
      </c>
    </row>
    <row r="423" spans="1:12" x14ac:dyDescent="0.3">
      <c r="A423">
        <v>2166</v>
      </c>
      <c r="B423">
        <v>82</v>
      </c>
      <c r="C423" t="s">
        <v>34</v>
      </c>
      <c r="D423" t="s">
        <v>15</v>
      </c>
      <c r="E423" t="s">
        <v>40</v>
      </c>
      <c r="F423">
        <v>10</v>
      </c>
      <c r="G423">
        <v>1</v>
      </c>
      <c r="H423" t="s">
        <v>14</v>
      </c>
      <c r="I423">
        <v>7</v>
      </c>
      <c r="J423" t="s">
        <v>33</v>
      </c>
      <c r="K423" t="s">
        <v>14</v>
      </c>
      <c r="L423" t="s">
        <v>16</v>
      </c>
    </row>
    <row r="424" spans="1:12" x14ac:dyDescent="0.3">
      <c r="A424">
        <v>2018</v>
      </c>
      <c r="B424">
        <v>71</v>
      </c>
      <c r="C424" t="s">
        <v>38</v>
      </c>
      <c r="D424" t="s">
        <v>13</v>
      </c>
      <c r="E424" t="s">
        <v>35</v>
      </c>
      <c r="F424">
        <v>13</v>
      </c>
      <c r="G424">
        <v>0</v>
      </c>
      <c r="H424" t="s">
        <v>14</v>
      </c>
      <c r="I424">
        <v>10</v>
      </c>
      <c r="J424" t="s">
        <v>48</v>
      </c>
      <c r="K424" t="s">
        <v>16</v>
      </c>
      <c r="L424" t="s">
        <v>14</v>
      </c>
    </row>
    <row r="425" spans="1:12" x14ac:dyDescent="0.3">
      <c r="A425">
        <v>2180</v>
      </c>
      <c r="B425">
        <v>62</v>
      </c>
      <c r="C425" t="s">
        <v>31</v>
      </c>
      <c r="D425" t="s">
        <v>15</v>
      </c>
      <c r="E425" t="s">
        <v>39</v>
      </c>
      <c r="F425">
        <v>11</v>
      </c>
      <c r="G425">
        <v>1</v>
      </c>
      <c r="H425" t="s">
        <v>14</v>
      </c>
      <c r="I425">
        <v>6</v>
      </c>
      <c r="J425" t="s">
        <v>44</v>
      </c>
      <c r="K425" t="s">
        <v>16</v>
      </c>
      <c r="L425" t="s">
        <v>14</v>
      </c>
    </row>
    <row r="426" spans="1:12" x14ac:dyDescent="0.3">
      <c r="A426">
        <v>2005</v>
      </c>
      <c r="B426">
        <v>71</v>
      </c>
      <c r="C426" t="s">
        <v>34</v>
      </c>
      <c r="D426" t="s">
        <v>15</v>
      </c>
      <c r="E426" t="s">
        <v>40</v>
      </c>
      <c r="F426">
        <v>3</v>
      </c>
      <c r="G426">
        <v>3</v>
      </c>
      <c r="H426" t="s">
        <v>16</v>
      </c>
      <c r="I426">
        <v>12</v>
      </c>
      <c r="J426" t="s">
        <v>33</v>
      </c>
      <c r="K426" t="s">
        <v>14</v>
      </c>
      <c r="L426" t="s">
        <v>16</v>
      </c>
    </row>
    <row r="427" spans="1:12" x14ac:dyDescent="0.3">
      <c r="A427">
        <v>2250</v>
      </c>
      <c r="B427">
        <v>27</v>
      </c>
      <c r="C427" t="s">
        <v>34</v>
      </c>
      <c r="D427" t="s">
        <v>13</v>
      </c>
      <c r="E427" t="s">
        <v>32</v>
      </c>
      <c r="F427">
        <v>14</v>
      </c>
      <c r="G427">
        <v>2</v>
      </c>
      <c r="H427" t="s">
        <v>16</v>
      </c>
      <c r="J427" t="s">
        <v>33</v>
      </c>
      <c r="K427" t="s">
        <v>14</v>
      </c>
      <c r="L427" t="s">
        <v>16</v>
      </c>
    </row>
    <row r="428" spans="1:12" x14ac:dyDescent="0.3">
      <c r="A428">
        <v>2214</v>
      </c>
      <c r="B428">
        <v>79</v>
      </c>
      <c r="C428" t="s">
        <v>34</v>
      </c>
      <c r="D428" t="s">
        <v>15</v>
      </c>
      <c r="E428" t="s">
        <v>40</v>
      </c>
      <c r="F428">
        <v>13</v>
      </c>
      <c r="G428">
        <v>1</v>
      </c>
      <c r="H428" t="s">
        <v>14</v>
      </c>
      <c r="I428">
        <v>13</v>
      </c>
      <c r="J428" t="s">
        <v>44</v>
      </c>
      <c r="K428" t="s">
        <v>14</v>
      </c>
      <c r="L428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21"/>
  <sheetViews>
    <sheetView tabSelected="1" zoomScaleNormal="100" workbookViewId="0">
      <selection activeCell="C1" sqref="C1"/>
    </sheetView>
  </sheetViews>
  <sheetFormatPr defaultColWidth="8.6640625" defaultRowHeight="14.4" x14ac:dyDescent="0.3"/>
  <cols>
    <col min="1" max="5" width="12" customWidth="1"/>
    <col min="6" max="6" width="14" customWidth="1"/>
    <col min="7" max="7" width="17" customWidth="1"/>
    <col min="8" max="8" width="18" customWidth="1"/>
    <col min="9" max="9" width="17" customWidth="1"/>
    <col min="10" max="10" width="22" customWidth="1"/>
    <col min="11" max="12" width="19" customWidth="1"/>
  </cols>
  <sheetData>
    <row r="1" spans="1:12" x14ac:dyDescent="0.3">
      <c r="A1" s="49" t="s">
        <v>20</v>
      </c>
      <c r="B1" s="49" t="s">
        <v>21</v>
      </c>
      <c r="C1" s="49" t="s">
        <v>22</v>
      </c>
      <c r="D1" s="49" t="s">
        <v>8</v>
      </c>
      <c r="E1" s="49" t="s">
        <v>23</v>
      </c>
      <c r="F1" s="49" t="s">
        <v>24</v>
      </c>
      <c r="G1" s="49" t="s">
        <v>25</v>
      </c>
      <c r="H1" s="49" t="s">
        <v>26</v>
      </c>
      <c r="I1" s="49" t="s">
        <v>27</v>
      </c>
      <c r="J1" s="49" t="s">
        <v>28</v>
      </c>
      <c r="K1" s="49" t="s">
        <v>29</v>
      </c>
      <c r="L1" s="49" t="s">
        <v>30</v>
      </c>
    </row>
    <row r="2" spans="1:12" x14ac:dyDescent="0.3">
      <c r="A2">
        <v>2001</v>
      </c>
      <c r="B2">
        <v>22</v>
      </c>
      <c r="C2" t="s">
        <v>34</v>
      </c>
      <c r="D2" t="s">
        <v>13</v>
      </c>
      <c r="E2" t="s">
        <v>32</v>
      </c>
      <c r="F2">
        <v>1</v>
      </c>
      <c r="G2">
        <v>0</v>
      </c>
      <c r="H2" t="s">
        <v>14</v>
      </c>
      <c r="I2">
        <v>2</v>
      </c>
      <c r="J2" t="s">
        <v>33</v>
      </c>
      <c r="K2" t="s">
        <v>16</v>
      </c>
      <c r="L2" t="s">
        <v>16</v>
      </c>
    </row>
    <row r="3" spans="1:12" x14ac:dyDescent="0.3">
      <c r="A3">
        <v>2002</v>
      </c>
      <c r="B3">
        <v>66</v>
      </c>
      <c r="C3" t="s">
        <v>34</v>
      </c>
      <c r="D3" t="s">
        <v>13</v>
      </c>
      <c r="E3" t="s">
        <v>35</v>
      </c>
      <c r="F3">
        <v>5</v>
      </c>
      <c r="G3">
        <v>0</v>
      </c>
      <c r="H3" t="s">
        <v>16</v>
      </c>
      <c r="I3">
        <v>8</v>
      </c>
      <c r="J3" t="s">
        <v>36</v>
      </c>
      <c r="K3" t="s">
        <v>14</v>
      </c>
      <c r="L3" t="s">
        <v>16</v>
      </c>
    </row>
    <row r="4" spans="1:12" x14ac:dyDescent="0.3">
      <c r="A4">
        <v>2003</v>
      </c>
      <c r="B4">
        <v>88</v>
      </c>
      <c r="C4" t="s">
        <v>34</v>
      </c>
      <c r="D4" t="s">
        <v>15</v>
      </c>
      <c r="E4" t="s">
        <v>37</v>
      </c>
      <c r="F4">
        <v>9</v>
      </c>
      <c r="G4">
        <v>4</v>
      </c>
      <c r="H4" t="s">
        <v>14</v>
      </c>
      <c r="I4">
        <v>13</v>
      </c>
      <c r="J4" t="s">
        <v>33</v>
      </c>
      <c r="K4" t="s">
        <v>14</v>
      </c>
      <c r="L4" t="s">
        <v>14</v>
      </c>
    </row>
    <row r="5" spans="1:12" x14ac:dyDescent="0.3">
      <c r="A5">
        <v>2004</v>
      </c>
      <c r="B5">
        <v>23</v>
      </c>
      <c r="C5" t="s">
        <v>38</v>
      </c>
      <c r="D5" t="s">
        <v>15</v>
      </c>
      <c r="E5" t="s">
        <v>39</v>
      </c>
      <c r="F5">
        <v>12</v>
      </c>
      <c r="G5">
        <v>3</v>
      </c>
      <c r="H5" t="s">
        <v>16</v>
      </c>
      <c r="I5">
        <v>1</v>
      </c>
      <c r="J5" t="s">
        <v>33</v>
      </c>
      <c r="K5" t="s">
        <v>16</v>
      </c>
      <c r="L5" t="s">
        <v>16</v>
      </c>
    </row>
    <row r="6" spans="1:12" x14ac:dyDescent="0.3">
      <c r="A6">
        <v>2005</v>
      </c>
      <c r="B6">
        <v>71</v>
      </c>
      <c r="C6" t="s">
        <v>34</v>
      </c>
      <c r="D6" t="s">
        <v>15</v>
      </c>
      <c r="E6" t="s">
        <v>40</v>
      </c>
      <c r="F6">
        <v>3</v>
      </c>
      <c r="G6">
        <v>3</v>
      </c>
      <c r="H6" t="s">
        <v>16</v>
      </c>
      <c r="I6">
        <v>12</v>
      </c>
      <c r="J6" t="s">
        <v>33</v>
      </c>
      <c r="K6" t="s">
        <v>14</v>
      </c>
      <c r="L6" t="s">
        <v>16</v>
      </c>
    </row>
    <row r="7" spans="1:12" x14ac:dyDescent="0.3">
      <c r="A7">
        <v>2006</v>
      </c>
      <c r="B7">
        <v>22</v>
      </c>
      <c r="C7" t="s">
        <v>34</v>
      </c>
      <c r="D7" t="s">
        <v>19</v>
      </c>
      <c r="E7" t="s">
        <v>41</v>
      </c>
      <c r="F7">
        <v>3</v>
      </c>
      <c r="G7">
        <v>1</v>
      </c>
      <c r="H7" t="s">
        <v>16</v>
      </c>
      <c r="I7">
        <v>2</v>
      </c>
      <c r="J7" t="s">
        <v>36</v>
      </c>
      <c r="K7" t="s">
        <v>16</v>
      </c>
      <c r="L7" t="s">
        <v>16</v>
      </c>
    </row>
    <row r="8" spans="1:12" x14ac:dyDescent="0.3">
      <c r="A8">
        <v>2007</v>
      </c>
      <c r="B8">
        <v>85</v>
      </c>
      <c r="C8" t="s">
        <v>38</v>
      </c>
      <c r="D8" t="s">
        <v>17</v>
      </c>
      <c r="E8" t="s">
        <v>42</v>
      </c>
      <c r="F8">
        <v>2</v>
      </c>
      <c r="G8">
        <v>0</v>
      </c>
      <c r="H8" t="s">
        <v>16</v>
      </c>
      <c r="I8">
        <v>12</v>
      </c>
      <c r="J8" t="s">
        <v>33</v>
      </c>
      <c r="K8" t="s">
        <v>16</v>
      </c>
      <c r="L8" t="s">
        <v>16</v>
      </c>
    </row>
    <row r="9" spans="1:12" x14ac:dyDescent="0.3">
      <c r="A9">
        <v>2008</v>
      </c>
      <c r="B9">
        <v>47</v>
      </c>
      <c r="C9" t="s">
        <v>38</v>
      </c>
      <c r="D9" t="s">
        <v>13</v>
      </c>
      <c r="E9" t="s">
        <v>43</v>
      </c>
      <c r="F9">
        <v>2</v>
      </c>
      <c r="G9">
        <v>1</v>
      </c>
      <c r="H9" t="s">
        <v>14</v>
      </c>
      <c r="I9">
        <v>9</v>
      </c>
      <c r="J9" t="s">
        <v>44</v>
      </c>
      <c r="K9" t="s">
        <v>14</v>
      </c>
      <c r="L9" t="s">
        <v>16</v>
      </c>
    </row>
    <row r="10" spans="1:12" x14ac:dyDescent="0.3">
      <c r="A10">
        <v>2009</v>
      </c>
      <c r="B10">
        <v>43</v>
      </c>
      <c r="C10" t="s">
        <v>34</v>
      </c>
      <c r="D10" t="s">
        <v>15</v>
      </c>
      <c r="E10" t="s">
        <v>40</v>
      </c>
      <c r="F10">
        <v>4</v>
      </c>
      <c r="G10">
        <v>1</v>
      </c>
      <c r="H10" t="s">
        <v>16</v>
      </c>
      <c r="I10">
        <v>10</v>
      </c>
      <c r="J10" t="s">
        <v>44</v>
      </c>
      <c r="K10" t="s">
        <v>16</v>
      </c>
      <c r="L10" t="s">
        <v>16</v>
      </c>
    </row>
    <row r="11" spans="1:12" x14ac:dyDescent="0.3">
      <c r="A11">
        <v>2010</v>
      </c>
      <c r="B11">
        <v>25</v>
      </c>
      <c r="C11" t="s">
        <v>34</v>
      </c>
      <c r="D11" t="s">
        <v>19</v>
      </c>
      <c r="E11" t="s">
        <v>41</v>
      </c>
      <c r="F11">
        <v>9</v>
      </c>
      <c r="G11">
        <v>1</v>
      </c>
      <c r="H11" t="s">
        <v>16</v>
      </c>
      <c r="I11">
        <v>8</v>
      </c>
      <c r="J11" t="s">
        <v>33</v>
      </c>
      <c r="K11" t="s">
        <v>14</v>
      </c>
      <c r="L11" t="s">
        <v>16</v>
      </c>
    </row>
    <row r="12" spans="1:12" x14ac:dyDescent="0.3">
      <c r="A12">
        <v>2011</v>
      </c>
      <c r="B12">
        <v>49</v>
      </c>
      <c r="C12" t="s">
        <v>34</v>
      </c>
      <c r="D12" t="s">
        <v>13</v>
      </c>
      <c r="E12" t="s">
        <v>35</v>
      </c>
      <c r="F12">
        <v>10</v>
      </c>
      <c r="G12">
        <v>3</v>
      </c>
      <c r="H12" t="s">
        <v>16</v>
      </c>
      <c r="I12">
        <v>2</v>
      </c>
      <c r="J12" t="s">
        <v>44</v>
      </c>
      <c r="K12" t="s">
        <v>14</v>
      </c>
      <c r="L12" t="s">
        <v>16</v>
      </c>
    </row>
    <row r="13" spans="1:12" x14ac:dyDescent="0.3">
      <c r="A13">
        <v>2012</v>
      </c>
      <c r="B13">
        <v>57</v>
      </c>
      <c r="C13" t="s">
        <v>38</v>
      </c>
      <c r="D13" t="s">
        <v>19</v>
      </c>
      <c r="E13" t="s">
        <v>45</v>
      </c>
      <c r="F13">
        <v>1</v>
      </c>
      <c r="G13">
        <v>2</v>
      </c>
      <c r="H13" t="s">
        <v>14</v>
      </c>
      <c r="I13">
        <v>14</v>
      </c>
      <c r="J13" t="s">
        <v>33</v>
      </c>
      <c r="K13" t="s">
        <v>16</v>
      </c>
      <c r="L13" t="s">
        <v>14</v>
      </c>
    </row>
    <row r="14" spans="1:12" x14ac:dyDescent="0.3">
      <c r="A14">
        <v>2013</v>
      </c>
      <c r="B14">
        <v>46</v>
      </c>
      <c r="C14" t="s">
        <v>38</v>
      </c>
      <c r="D14" t="s">
        <v>15</v>
      </c>
      <c r="E14" t="s">
        <v>39</v>
      </c>
      <c r="F14">
        <v>4</v>
      </c>
      <c r="G14">
        <v>1</v>
      </c>
      <c r="H14" t="s">
        <v>14</v>
      </c>
      <c r="I14">
        <v>6</v>
      </c>
      <c r="J14" t="s">
        <v>33</v>
      </c>
      <c r="K14" t="s">
        <v>14</v>
      </c>
      <c r="L14" t="s">
        <v>16</v>
      </c>
    </row>
    <row r="15" spans="1:12" x14ac:dyDescent="0.3">
      <c r="A15">
        <v>2014</v>
      </c>
      <c r="B15">
        <v>40</v>
      </c>
      <c r="C15" t="s">
        <v>34</v>
      </c>
      <c r="D15" t="s">
        <v>19</v>
      </c>
      <c r="E15" t="s">
        <v>46</v>
      </c>
      <c r="F15">
        <v>2</v>
      </c>
      <c r="G15">
        <v>0</v>
      </c>
      <c r="H15" t="s">
        <v>14</v>
      </c>
      <c r="I15">
        <v>6</v>
      </c>
      <c r="J15" t="s">
        <v>33</v>
      </c>
      <c r="K15" t="s">
        <v>16</v>
      </c>
      <c r="L15" t="s">
        <v>16</v>
      </c>
    </row>
    <row r="16" spans="1:12" x14ac:dyDescent="0.3">
      <c r="A16">
        <v>2015</v>
      </c>
      <c r="B16">
        <v>57</v>
      </c>
      <c r="C16" t="s">
        <v>38</v>
      </c>
      <c r="D16" t="s">
        <v>15</v>
      </c>
      <c r="E16" t="s">
        <v>39</v>
      </c>
      <c r="F16">
        <v>10</v>
      </c>
      <c r="G16">
        <v>1</v>
      </c>
      <c r="H16" t="s">
        <v>14</v>
      </c>
      <c r="I16">
        <v>10</v>
      </c>
      <c r="J16" t="s">
        <v>33</v>
      </c>
      <c r="K16" t="s">
        <v>14</v>
      </c>
      <c r="L16" t="s">
        <v>16</v>
      </c>
    </row>
    <row r="17" spans="1:12" x14ac:dyDescent="0.3">
      <c r="A17">
        <v>2016</v>
      </c>
      <c r="B17">
        <v>72</v>
      </c>
      <c r="C17" t="s">
        <v>38</v>
      </c>
      <c r="D17" t="s">
        <v>13</v>
      </c>
      <c r="E17" t="s">
        <v>35</v>
      </c>
      <c r="F17">
        <v>7</v>
      </c>
      <c r="G17">
        <v>1</v>
      </c>
      <c r="H17" t="s">
        <v>16</v>
      </c>
      <c r="I17">
        <v>2</v>
      </c>
      <c r="J17" t="s">
        <v>44</v>
      </c>
      <c r="K17" t="s">
        <v>16</v>
      </c>
      <c r="L17" t="s">
        <v>16</v>
      </c>
    </row>
    <row r="18" spans="1:12" x14ac:dyDescent="0.3">
      <c r="A18">
        <v>2017</v>
      </c>
      <c r="B18">
        <v>21</v>
      </c>
      <c r="C18" t="s">
        <v>34</v>
      </c>
      <c r="D18" t="s">
        <v>15</v>
      </c>
      <c r="E18" t="s">
        <v>39</v>
      </c>
      <c r="F18">
        <v>9</v>
      </c>
      <c r="G18">
        <v>3</v>
      </c>
      <c r="H18" t="s">
        <v>16</v>
      </c>
      <c r="I18">
        <v>10</v>
      </c>
      <c r="J18" t="s">
        <v>36</v>
      </c>
      <c r="K18" t="s">
        <v>14</v>
      </c>
      <c r="L18" t="s">
        <v>16</v>
      </c>
    </row>
    <row r="19" spans="1:12" x14ac:dyDescent="0.3">
      <c r="A19">
        <v>2018</v>
      </c>
      <c r="B19">
        <v>71</v>
      </c>
      <c r="C19" t="s">
        <v>38</v>
      </c>
      <c r="D19" t="s">
        <v>13</v>
      </c>
      <c r="E19" t="s">
        <v>35</v>
      </c>
      <c r="F19">
        <v>13</v>
      </c>
      <c r="G19">
        <v>0</v>
      </c>
      <c r="H19" t="s">
        <v>14</v>
      </c>
      <c r="I19">
        <v>10</v>
      </c>
      <c r="J19" t="s">
        <v>48</v>
      </c>
      <c r="K19" t="s">
        <v>16</v>
      </c>
      <c r="L19" t="s">
        <v>14</v>
      </c>
    </row>
    <row r="20" spans="1:12" x14ac:dyDescent="0.3">
      <c r="A20">
        <v>2019</v>
      </c>
      <c r="B20">
        <v>52</v>
      </c>
      <c r="C20" t="s">
        <v>38</v>
      </c>
      <c r="D20" t="s">
        <v>13</v>
      </c>
      <c r="E20" t="s">
        <v>43</v>
      </c>
      <c r="F20">
        <v>13</v>
      </c>
      <c r="G20">
        <v>2</v>
      </c>
      <c r="H20" t="s">
        <v>16</v>
      </c>
      <c r="I20">
        <v>2</v>
      </c>
      <c r="J20" t="s">
        <v>36</v>
      </c>
      <c r="K20" t="s">
        <v>14</v>
      </c>
      <c r="L20" t="s">
        <v>16</v>
      </c>
    </row>
    <row r="21" spans="1:12" x14ac:dyDescent="0.3">
      <c r="A21">
        <v>2020</v>
      </c>
      <c r="B21">
        <v>20</v>
      </c>
      <c r="C21" t="s">
        <v>34</v>
      </c>
      <c r="D21" t="s">
        <v>19</v>
      </c>
      <c r="E21" t="s">
        <v>46</v>
      </c>
      <c r="F21">
        <v>1</v>
      </c>
      <c r="G21">
        <v>2</v>
      </c>
      <c r="H21" t="s">
        <v>14</v>
      </c>
      <c r="I21">
        <v>13</v>
      </c>
      <c r="J21" t="s">
        <v>33</v>
      </c>
      <c r="K21" t="s">
        <v>16</v>
      </c>
      <c r="L21" t="s">
        <v>16</v>
      </c>
    </row>
    <row r="22" spans="1:12" x14ac:dyDescent="0.3">
      <c r="A22">
        <v>2021</v>
      </c>
      <c r="B22">
        <v>25</v>
      </c>
      <c r="C22" t="s">
        <v>34</v>
      </c>
      <c r="D22" t="s">
        <v>17</v>
      </c>
      <c r="E22" t="s">
        <v>42</v>
      </c>
      <c r="F22">
        <v>4</v>
      </c>
      <c r="G22">
        <v>1</v>
      </c>
      <c r="H22" t="s">
        <v>16</v>
      </c>
      <c r="I22">
        <v>8</v>
      </c>
      <c r="J22" t="s">
        <v>44</v>
      </c>
      <c r="K22" t="s">
        <v>16</v>
      </c>
      <c r="L22" t="s">
        <v>16</v>
      </c>
    </row>
    <row r="23" spans="1:12" x14ac:dyDescent="0.3">
      <c r="A23">
        <v>2022</v>
      </c>
      <c r="B23">
        <v>28</v>
      </c>
      <c r="C23" t="s">
        <v>38</v>
      </c>
      <c r="D23" t="s">
        <v>17</v>
      </c>
      <c r="E23" t="s">
        <v>49</v>
      </c>
      <c r="F23">
        <v>2</v>
      </c>
      <c r="G23">
        <v>1</v>
      </c>
      <c r="H23" t="s">
        <v>16</v>
      </c>
      <c r="I23">
        <v>7</v>
      </c>
      <c r="J23" t="s">
        <v>36</v>
      </c>
      <c r="K23" t="s">
        <v>16</v>
      </c>
      <c r="L23" t="s">
        <v>16</v>
      </c>
    </row>
    <row r="24" spans="1:12" x14ac:dyDescent="0.3">
      <c r="A24">
        <v>2023</v>
      </c>
      <c r="B24">
        <v>18</v>
      </c>
      <c r="C24" t="s">
        <v>38</v>
      </c>
      <c r="D24" t="s">
        <v>13</v>
      </c>
      <c r="E24" t="s">
        <v>43</v>
      </c>
      <c r="F24">
        <v>13</v>
      </c>
      <c r="G24">
        <v>7</v>
      </c>
      <c r="H24" t="s">
        <v>16</v>
      </c>
      <c r="I24">
        <v>4</v>
      </c>
      <c r="J24" t="s">
        <v>33</v>
      </c>
      <c r="K24" t="s">
        <v>16</v>
      </c>
      <c r="L24" t="s">
        <v>14</v>
      </c>
    </row>
    <row r="25" spans="1:12" x14ac:dyDescent="0.3">
      <c r="A25">
        <v>2024</v>
      </c>
      <c r="B25">
        <v>26</v>
      </c>
      <c r="C25" t="s">
        <v>34</v>
      </c>
      <c r="D25" t="s">
        <v>15</v>
      </c>
      <c r="E25" t="s">
        <v>37</v>
      </c>
      <c r="F25">
        <v>4</v>
      </c>
      <c r="G25">
        <v>1</v>
      </c>
      <c r="H25" t="s">
        <v>16</v>
      </c>
      <c r="I25">
        <v>13</v>
      </c>
      <c r="J25" t="s">
        <v>33</v>
      </c>
      <c r="K25" t="s">
        <v>14</v>
      </c>
      <c r="L25" t="s">
        <v>16</v>
      </c>
    </row>
    <row r="26" spans="1:12" x14ac:dyDescent="0.3">
      <c r="A26">
        <v>2025</v>
      </c>
      <c r="B26">
        <v>51</v>
      </c>
      <c r="C26" t="s">
        <v>34</v>
      </c>
      <c r="D26" t="s">
        <v>19</v>
      </c>
      <c r="E26" t="s">
        <v>46</v>
      </c>
      <c r="F26">
        <v>5</v>
      </c>
      <c r="G26">
        <v>3</v>
      </c>
      <c r="H26" t="s">
        <v>16</v>
      </c>
      <c r="I26">
        <v>1</v>
      </c>
      <c r="J26" t="s">
        <v>44</v>
      </c>
      <c r="K26" t="s">
        <v>16</v>
      </c>
      <c r="L26" t="s">
        <v>14</v>
      </c>
    </row>
    <row r="27" spans="1:12" x14ac:dyDescent="0.3">
      <c r="A27">
        <v>2026</v>
      </c>
      <c r="B27">
        <v>44</v>
      </c>
      <c r="C27" t="s">
        <v>38</v>
      </c>
      <c r="D27" t="s">
        <v>19</v>
      </c>
      <c r="E27" t="s">
        <v>41</v>
      </c>
      <c r="F27">
        <v>10</v>
      </c>
      <c r="G27">
        <v>2</v>
      </c>
      <c r="H27" t="s">
        <v>16</v>
      </c>
      <c r="I27">
        <v>10</v>
      </c>
      <c r="J27" t="s">
        <v>44</v>
      </c>
      <c r="K27" t="s">
        <v>14</v>
      </c>
      <c r="L27" t="s">
        <v>16</v>
      </c>
    </row>
    <row r="28" spans="1:12" x14ac:dyDescent="0.3">
      <c r="A28">
        <v>2027</v>
      </c>
      <c r="B28">
        <v>54</v>
      </c>
      <c r="C28" t="s">
        <v>38</v>
      </c>
      <c r="D28" t="s">
        <v>18</v>
      </c>
      <c r="E28" t="s">
        <v>50</v>
      </c>
      <c r="F28">
        <v>9</v>
      </c>
      <c r="G28">
        <v>0</v>
      </c>
      <c r="H28" t="s">
        <v>16</v>
      </c>
      <c r="I28">
        <v>9</v>
      </c>
      <c r="J28" t="s">
        <v>48</v>
      </c>
      <c r="K28" t="s">
        <v>14</v>
      </c>
      <c r="L28" t="s">
        <v>16</v>
      </c>
    </row>
    <row r="29" spans="1:12" x14ac:dyDescent="0.3">
      <c r="A29">
        <v>2028</v>
      </c>
      <c r="B29">
        <v>28</v>
      </c>
      <c r="C29" t="s">
        <v>34</v>
      </c>
      <c r="D29" t="s">
        <v>17</v>
      </c>
      <c r="E29" t="s">
        <v>49</v>
      </c>
      <c r="F29">
        <v>5</v>
      </c>
      <c r="G29">
        <v>3</v>
      </c>
      <c r="H29" t="s">
        <v>14</v>
      </c>
      <c r="I29">
        <v>14</v>
      </c>
      <c r="J29" t="s">
        <v>33</v>
      </c>
      <c r="K29" t="s">
        <v>14</v>
      </c>
      <c r="L29" t="s">
        <v>16</v>
      </c>
    </row>
    <row r="30" spans="1:12" x14ac:dyDescent="0.3">
      <c r="A30">
        <v>2029</v>
      </c>
      <c r="B30">
        <v>77</v>
      </c>
      <c r="C30" t="s">
        <v>38</v>
      </c>
      <c r="D30" t="s">
        <v>13</v>
      </c>
      <c r="E30" t="s">
        <v>35</v>
      </c>
      <c r="F30">
        <v>8</v>
      </c>
      <c r="G30">
        <v>1</v>
      </c>
      <c r="H30" t="s">
        <v>16</v>
      </c>
      <c r="I30">
        <v>9</v>
      </c>
      <c r="J30" t="s">
        <v>44</v>
      </c>
      <c r="K30" t="s">
        <v>14</v>
      </c>
      <c r="L30" t="s">
        <v>16</v>
      </c>
    </row>
    <row r="31" spans="1:12" x14ac:dyDescent="0.3">
      <c r="A31">
        <v>2030</v>
      </c>
      <c r="B31">
        <v>62</v>
      </c>
      <c r="C31" t="s">
        <v>34</v>
      </c>
      <c r="D31" t="s">
        <v>17</v>
      </c>
      <c r="E31" t="s">
        <v>42</v>
      </c>
      <c r="F31">
        <v>5</v>
      </c>
      <c r="G31">
        <v>3</v>
      </c>
      <c r="H31" t="s">
        <v>14</v>
      </c>
      <c r="I31">
        <v>13</v>
      </c>
      <c r="J31" t="s">
        <v>33</v>
      </c>
      <c r="K31" t="s">
        <v>14</v>
      </c>
      <c r="L31" t="s">
        <v>16</v>
      </c>
    </row>
    <row r="32" spans="1:12" x14ac:dyDescent="0.3">
      <c r="A32">
        <v>2031</v>
      </c>
      <c r="B32">
        <v>27</v>
      </c>
      <c r="C32" t="s">
        <v>38</v>
      </c>
      <c r="D32" t="s">
        <v>18</v>
      </c>
      <c r="E32" t="s">
        <v>51</v>
      </c>
      <c r="F32">
        <v>6</v>
      </c>
      <c r="G32">
        <v>2</v>
      </c>
      <c r="H32" t="s">
        <v>14</v>
      </c>
      <c r="I32">
        <v>10</v>
      </c>
      <c r="J32" t="s">
        <v>33</v>
      </c>
      <c r="K32" t="s">
        <v>16</v>
      </c>
      <c r="L32" t="s">
        <v>14</v>
      </c>
    </row>
    <row r="33" spans="1:12" x14ac:dyDescent="0.3">
      <c r="A33">
        <v>2032</v>
      </c>
      <c r="B33">
        <v>66</v>
      </c>
      <c r="C33" t="s">
        <v>38</v>
      </c>
      <c r="D33" t="s">
        <v>18</v>
      </c>
      <c r="E33" t="s">
        <v>50</v>
      </c>
      <c r="F33">
        <v>12</v>
      </c>
      <c r="G33">
        <v>2</v>
      </c>
      <c r="H33" t="s">
        <v>16</v>
      </c>
      <c r="I33">
        <v>14</v>
      </c>
      <c r="J33" t="s">
        <v>44</v>
      </c>
      <c r="K33" t="s">
        <v>16</v>
      </c>
      <c r="L33" t="s">
        <v>16</v>
      </c>
    </row>
    <row r="34" spans="1:12" x14ac:dyDescent="0.3">
      <c r="A34">
        <v>2033</v>
      </c>
      <c r="B34">
        <v>32</v>
      </c>
      <c r="C34" t="s">
        <v>38</v>
      </c>
      <c r="D34" t="s">
        <v>19</v>
      </c>
      <c r="E34" t="s">
        <v>41</v>
      </c>
      <c r="F34">
        <v>5</v>
      </c>
      <c r="G34">
        <v>5</v>
      </c>
      <c r="H34" t="s">
        <v>14</v>
      </c>
      <c r="I34">
        <v>7</v>
      </c>
      <c r="J34" t="s">
        <v>33</v>
      </c>
      <c r="K34" t="s">
        <v>14</v>
      </c>
      <c r="L34" t="s">
        <v>14</v>
      </c>
    </row>
    <row r="35" spans="1:12" x14ac:dyDescent="0.3">
      <c r="A35">
        <v>2034</v>
      </c>
      <c r="B35">
        <v>85</v>
      </c>
      <c r="C35" t="s">
        <v>38</v>
      </c>
      <c r="D35" t="s">
        <v>15</v>
      </c>
      <c r="E35" t="s">
        <v>40</v>
      </c>
      <c r="F35">
        <v>10</v>
      </c>
      <c r="G35">
        <v>0</v>
      </c>
      <c r="H35" t="s">
        <v>14</v>
      </c>
      <c r="I35">
        <v>10</v>
      </c>
      <c r="J35" t="s">
        <v>36</v>
      </c>
      <c r="K35" t="s">
        <v>14</v>
      </c>
      <c r="L35" t="s">
        <v>16</v>
      </c>
    </row>
    <row r="36" spans="1:12" x14ac:dyDescent="0.3">
      <c r="A36">
        <v>2035</v>
      </c>
      <c r="B36">
        <v>43</v>
      </c>
      <c r="C36" t="s">
        <v>34</v>
      </c>
      <c r="D36" t="s">
        <v>19</v>
      </c>
      <c r="E36" t="s">
        <v>41</v>
      </c>
      <c r="F36">
        <v>12</v>
      </c>
      <c r="G36">
        <v>0</v>
      </c>
      <c r="H36" t="s">
        <v>16</v>
      </c>
      <c r="I36">
        <v>1</v>
      </c>
      <c r="J36" t="s">
        <v>33</v>
      </c>
      <c r="K36" t="s">
        <v>14</v>
      </c>
      <c r="L36" t="s">
        <v>16</v>
      </c>
    </row>
    <row r="37" spans="1:12" x14ac:dyDescent="0.3">
      <c r="A37">
        <v>2036</v>
      </c>
      <c r="B37">
        <v>68</v>
      </c>
      <c r="C37" t="s">
        <v>34</v>
      </c>
      <c r="D37" t="s">
        <v>15</v>
      </c>
      <c r="E37" t="s">
        <v>37</v>
      </c>
      <c r="F37">
        <v>14</v>
      </c>
      <c r="G37">
        <v>0</v>
      </c>
      <c r="H37" t="s">
        <v>14</v>
      </c>
      <c r="I37">
        <v>9</v>
      </c>
      <c r="J37" t="s">
        <v>44</v>
      </c>
      <c r="K37" t="s">
        <v>16</v>
      </c>
      <c r="L37" t="s">
        <v>14</v>
      </c>
    </row>
    <row r="38" spans="1:12" x14ac:dyDescent="0.3">
      <c r="A38">
        <v>2037</v>
      </c>
      <c r="B38">
        <v>63</v>
      </c>
      <c r="C38" t="s">
        <v>38</v>
      </c>
      <c r="D38" t="s">
        <v>18</v>
      </c>
      <c r="E38" t="s">
        <v>52</v>
      </c>
      <c r="F38">
        <v>1</v>
      </c>
      <c r="G38">
        <v>2</v>
      </c>
      <c r="H38" t="s">
        <v>16</v>
      </c>
      <c r="I38">
        <v>3</v>
      </c>
      <c r="J38" t="s">
        <v>48</v>
      </c>
      <c r="K38" t="s">
        <v>14</v>
      </c>
      <c r="L38" t="s">
        <v>16</v>
      </c>
    </row>
    <row r="39" spans="1:12" x14ac:dyDescent="0.3">
      <c r="A39">
        <v>2038</v>
      </c>
      <c r="B39">
        <v>36</v>
      </c>
      <c r="C39" t="s">
        <v>38</v>
      </c>
      <c r="D39" t="s">
        <v>13</v>
      </c>
      <c r="E39" t="s">
        <v>32</v>
      </c>
      <c r="F39">
        <v>7</v>
      </c>
      <c r="G39">
        <v>0</v>
      </c>
      <c r="H39" t="s">
        <v>14</v>
      </c>
      <c r="I39">
        <v>3</v>
      </c>
      <c r="J39" t="s">
        <v>48</v>
      </c>
      <c r="K39" t="s">
        <v>14</v>
      </c>
      <c r="L39" t="s">
        <v>16</v>
      </c>
    </row>
    <row r="40" spans="1:12" x14ac:dyDescent="0.3">
      <c r="A40">
        <v>2039</v>
      </c>
      <c r="B40">
        <v>30</v>
      </c>
      <c r="C40" t="s">
        <v>34</v>
      </c>
      <c r="D40" t="s">
        <v>15</v>
      </c>
      <c r="E40" t="s">
        <v>39</v>
      </c>
      <c r="F40">
        <v>2</v>
      </c>
      <c r="G40">
        <v>1</v>
      </c>
      <c r="H40" t="s">
        <v>16</v>
      </c>
      <c r="I40">
        <v>9</v>
      </c>
      <c r="J40" t="s">
        <v>44</v>
      </c>
      <c r="K40" t="s">
        <v>14</v>
      </c>
      <c r="L40" t="s">
        <v>16</v>
      </c>
    </row>
    <row r="41" spans="1:12" x14ac:dyDescent="0.3">
      <c r="A41">
        <v>2040</v>
      </c>
      <c r="B41">
        <v>60</v>
      </c>
      <c r="C41" t="s">
        <v>34</v>
      </c>
      <c r="D41" t="s">
        <v>19</v>
      </c>
      <c r="E41" t="s">
        <v>41</v>
      </c>
      <c r="F41">
        <v>13</v>
      </c>
      <c r="G41">
        <v>2</v>
      </c>
      <c r="H41" t="s">
        <v>14</v>
      </c>
      <c r="I41">
        <v>4</v>
      </c>
      <c r="J41" t="s">
        <v>33</v>
      </c>
      <c r="K41" t="s">
        <v>16</v>
      </c>
      <c r="L41" t="s">
        <v>14</v>
      </c>
    </row>
    <row r="42" spans="1:12" x14ac:dyDescent="0.3">
      <c r="A42">
        <v>2041</v>
      </c>
      <c r="B42">
        <v>45</v>
      </c>
      <c r="C42" t="s">
        <v>34</v>
      </c>
      <c r="D42" t="s">
        <v>13</v>
      </c>
      <c r="E42" t="s">
        <v>35</v>
      </c>
      <c r="F42">
        <v>1</v>
      </c>
      <c r="G42">
        <v>1</v>
      </c>
      <c r="H42" t="s">
        <v>14</v>
      </c>
      <c r="I42">
        <v>2</v>
      </c>
      <c r="J42" t="s">
        <v>44</v>
      </c>
      <c r="K42" t="s">
        <v>14</v>
      </c>
      <c r="L42" t="s">
        <v>16</v>
      </c>
    </row>
    <row r="43" spans="1:12" x14ac:dyDescent="0.3">
      <c r="A43">
        <v>2042</v>
      </c>
      <c r="B43">
        <v>83</v>
      </c>
      <c r="C43" t="s">
        <v>38</v>
      </c>
      <c r="D43" t="s">
        <v>18</v>
      </c>
      <c r="E43" t="s">
        <v>52</v>
      </c>
      <c r="F43">
        <v>3</v>
      </c>
      <c r="G43">
        <v>0</v>
      </c>
      <c r="H43" t="s">
        <v>16</v>
      </c>
      <c r="I43">
        <v>13</v>
      </c>
      <c r="J43" t="s">
        <v>33</v>
      </c>
      <c r="K43" t="s">
        <v>14</v>
      </c>
      <c r="L43" t="s">
        <v>16</v>
      </c>
    </row>
    <row r="44" spans="1:12" x14ac:dyDescent="0.3">
      <c r="A44">
        <v>2043</v>
      </c>
      <c r="B44">
        <v>30</v>
      </c>
      <c r="C44" t="s">
        <v>34</v>
      </c>
      <c r="D44" t="s">
        <v>17</v>
      </c>
      <c r="E44" t="s">
        <v>49</v>
      </c>
      <c r="F44">
        <v>14</v>
      </c>
      <c r="G44">
        <v>2</v>
      </c>
      <c r="H44" t="s">
        <v>16</v>
      </c>
      <c r="I44">
        <v>3</v>
      </c>
      <c r="J44" t="s">
        <v>44</v>
      </c>
      <c r="K44" t="s">
        <v>16</v>
      </c>
      <c r="L44" t="s">
        <v>14</v>
      </c>
    </row>
    <row r="45" spans="1:12" x14ac:dyDescent="0.3">
      <c r="A45">
        <v>2044</v>
      </c>
      <c r="B45">
        <v>28</v>
      </c>
      <c r="C45" t="s">
        <v>34</v>
      </c>
      <c r="D45" t="s">
        <v>13</v>
      </c>
      <c r="E45" t="s">
        <v>32</v>
      </c>
      <c r="F45">
        <v>11</v>
      </c>
      <c r="G45">
        <v>1</v>
      </c>
      <c r="H45" t="s">
        <v>16</v>
      </c>
      <c r="I45">
        <v>10</v>
      </c>
      <c r="J45" t="s">
        <v>36</v>
      </c>
      <c r="K45" t="s">
        <v>16</v>
      </c>
      <c r="L45" t="s">
        <v>16</v>
      </c>
    </row>
    <row r="46" spans="1:12" x14ac:dyDescent="0.3">
      <c r="A46">
        <v>2045</v>
      </c>
      <c r="B46">
        <v>56</v>
      </c>
      <c r="C46" t="s">
        <v>38</v>
      </c>
      <c r="D46" t="s">
        <v>13</v>
      </c>
      <c r="E46" t="s">
        <v>43</v>
      </c>
      <c r="F46">
        <v>8</v>
      </c>
      <c r="G46">
        <v>1</v>
      </c>
      <c r="H46" t="s">
        <v>16</v>
      </c>
      <c r="I46">
        <v>13</v>
      </c>
      <c r="J46" t="s">
        <v>44</v>
      </c>
      <c r="K46" t="s">
        <v>14</v>
      </c>
      <c r="L46" t="s">
        <v>16</v>
      </c>
    </row>
    <row r="47" spans="1:12" x14ac:dyDescent="0.3">
      <c r="A47">
        <v>2046</v>
      </c>
      <c r="B47">
        <v>78</v>
      </c>
      <c r="C47" t="s">
        <v>38</v>
      </c>
      <c r="D47" t="s">
        <v>18</v>
      </c>
      <c r="E47" t="s">
        <v>50</v>
      </c>
      <c r="F47">
        <v>10</v>
      </c>
      <c r="G47">
        <v>1</v>
      </c>
      <c r="H47" t="s">
        <v>14</v>
      </c>
      <c r="I47">
        <v>11</v>
      </c>
      <c r="J47" t="s">
        <v>44</v>
      </c>
      <c r="K47" t="s">
        <v>14</v>
      </c>
      <c r="L47" t="s">
        <v>16</v>
      </c>
    </row>
    <row r="48" spans="1:12" x14ac:dyDescent="0.3">
      <c r="A48">
        <v>2047</v>
      </c>
      <c r="B48">
        <v>76</v>
      </c>
      <c r="C48" t="s">
        <v>34</v>
      </c>
      <c r="D48" t="s">
        <v>19</v>
      </c>
      <c r="E48" t="s">
        <v>46</v>
      </c>
      <c r="F48">
        <v>1</v>
      </c>
      <c r="G48">
        <v>2</v>
      </c>
      <c r="H48" t="s">
        <v>16</v>
      </c>
      <c r="I48">
        <v>10</v>
      </c>
      <c r="J48" t="s">
        <v>33</v>
      </c>
      <c r="K48" t="s">
        <v>16</v>
      </c>
      <c r="L48" t="s">
        <v>16</v>
      </c>
    </row>
    <row r="49" spans="1:12" x14ac:dyDescent="0.3">
      <c r="A49">
        <v>2048</v>
      </c>
      <c r="B49">
        <v>68</v>
      </c>
      <c r="C49" t="s">
        <v>38</v>
      </c>
      <c r="D49" t="s">
        <v>17</v>
      </c>
      <c r="E49" t="s">
        <v>49</v>
      </c>
      <c r="F49">
        <v>13</v>
      </c>
      <c r="G49">
        <v>1</v>
      </c>
      <c r="H49" t="s">
        <v>16</v>
      </c>
      <c r="I49">
        <v>5</v>
      </c>
      <c r="J49" t="s">
        <v>44</v>
      </c>
      <c r="K49" t="s">
        <v>14</v>
      </c>
      <c r="L49" t="s">
        <v>16</v>
      </c>
    </row>
    <row r="50" spans="1:12" x14ac:dyDescent="0.3">
      <c r="A50">
        <v>2049</v>
      </c>
      <c r="B50">
        <v>59</v>
      </c>
      <c r="C50" t="s">
        <v>38</v>
      </c>
      <c r="D50" t="s">
        <v>15</v>
      </c>
      <c r="E50" t="s">
        <v>40</v>
      </c>
      <c r="F50">
        <v>11</v>
      </c>
      <c r="G50">
        <v>2</v>
      </c>
      <c r="H50" t="s">
        <v>16</v>
      </c>
      <c r="I50">
        <v>9</v>
      </c>
      <c r="J50" t="s">
        <v>33</v>
      </c>
      <c r="K50" t="s">
        <v>14</v>
      </c>
      <c r="L50" t="s">
        <v>16</v>
      </c>
    </row>
    <row r="51" spans="1:12" x14ac:dyDescent="0.3">
      <c r="A51">
        <v>2050</v>
      </c>
      <c r="B51">
        <v>49</v>
      </c>
      <c r="C51" t="s">
        <v>34</v>
      </c>
      <c r="D51" t="s">
        <v>17</v>
      </c>
      <c r="E51" t="s">
        <v>53</v>
      </c>
      <c r="F51">
        <v>8</v>
      </c>
      <c r="G51">
        <v>2</v>
      </c>
      <c r="H51" t="s">
        <v>16</v>
      </c>
      <c r="I51">
        <v>14</v>
      </c>
      <c r="J51" t="s">
        <v>44</v>
      </c>
      <c r="K51" t="s">
        <v>14</v>
      </c>
      <c r="L51" t="s">
        <v>16</v>
      </c>
    </row>
    <row r="52" spans="1:12" x14ac:dyDescent="0.3">
      <c r="A52">
        <v>2051</v>
      </c>
      <c r="B52">
        <v>24</v>
      </c>
      <c r="C52" t="s">
        <v>38</v>
      </c>
      <c r="D52" t="s">
        <v>17</v>
      </c>
      <c r="E52" t="s">
        <v>53</v>
      </c>
      <c r="F52">
        <v>12</v>
      </c>
      <c r="G52">
        <v>0</v>
      </c>
      <c r="H52" t="s">
        <v>16</v>
      </c>
      <c r="I52">
        <v>13</v>
      </c>
      <c r="J52" t="s">
        <v>36</v>
      </c>
      <c r="K52" t="s">
        <v>14</v>
      </c>
      <c r="L52" t="s">
        <v>16</v>
      </c>
    </row>
    <row r="53" spans="1:12" x14ac:dyDescent="0.3">
      <c r="A53">
        <v>2052</v>
      </c>
      <c r="B53">
        <v>49</v>
      </c>
      <c r="C53" t="s">
        <v>34</v>
      </c>
      <c r="D53" t="s">
        <v>15</v>
      </c>
      <c r="E53" t="s">
        <v>40</v>
      </c>
      <c r="F53">
        <v>6</v>
      </c>
      <c r="G53">
        <v>0</v>
      </c>
      <c r="H53" t="s">
        <v>14</v>
      </c>
      <c r="I53">
        <v>11</v>
      </c>
      <c r="J53" t="s">
        <v>33</v>
      </c>
      <c r="K53" t="s">
        <v>14</v>
      </c>
      <c r="L53" t="s">
        <v>16</v>
      </c>
    </row>
    <row r="54" spans="1:12" x14ac:dyDescent="0.3">
      <c r="A54">
        <v>2053</v>
      </c>
      <c r="B54">
        <v>53</v>
      </c>
      <c r="C54" t="s">
        <v>34</v>
      </c>
      <c r="D54" t="s">
        <v>15</v>
      </c>
      <c r="E54" t="s">
        <v>37</v>
      </c>
      <c r="F54">
        <v>1</v>
      </c>
      <c r="G54">
        <v>0</v>
      </c>
      <c r="H54" t="s">
        <v>14</v>
      </c>
      <c r="I54">
        <v>9</v>
      </c>
      <c r="J54" t="s">
        <v>33</v>
      </c>
      <c r="K54" t="s">
        <v>14</v>
      </c>
      <c r="L54" t="s">
        <v>16</v>
      </c>
    </row>
    <row r="55" spans="1:12" x14ac:dyDescent="0.3">
      <c r="A55">
        <v>2054</v>
      </c>
      <c r="B55">
        <v>19</v>
      </c>
      <c r="C55" t="s">
        <v>38</v>
      </c>
      <c r="D55" t="s">
        <v>19</v>
      </c>
      <c r="E55" t="s">
        <v>41</v>
      </c>
      <c r="F55">
        <v>4</v>
      </c>
      <c r="G55">
        <v>0</v>
      </c>
      <c r="H55" t="s">
        <v>16</v>
      </c>
      <c r="I55">
        <v>13</v>
      </c>
      <c r="J55" t="s">
        <v>44</v>
      </c>
      <c r="K55" t="s">
        <v>14</v>
      </c>
      <c r="L55" t="s">
        <v>16</v>
      </c>
    </row>
    <row r="56" spans="1:12" x14ac:dyDescent="0.3">
      <c r="A56">
        <v>2055</v>
      </c>
      <c r="B56">
        <v>28</v>
      </c>
      <c r="C56" t="s">
        <v>34</v>
      </c>
      <c r="D56" t="s">
        <v>19</v>
      </c>
      <c r="E56" t="s">
        <v>46</v>
      </c>
      <c r="F56">
        <v>9</v>
      </c>
      <c r="G56">
        <v>1</v>
      </c>
      <c r="H56" t="s">
        <v>16</v>
      </c>
      <c r="I56">
        <v>13</v>
      </c>
      <c r="J56" t="s">
        <v>33</v>
      </c>
      <c r="K56" t="s">
        <v>14</v>
      </c>
      <c r="L56" t="s">
        <v>16</v>
      </c>
    </row>
    <row r="57" spans="1:12" x14ac:dyDescent="0.3">
      <c r="A57">
        <v>2056</v>
      </c>
      <c r="B57">
        <v>41</v>
      </c>
      <c r="C57" t="s">
        <v>38</v>
      </c>
      <c r="D57" t="s">
        <v>19</v>
      </c>
      <c r="E57" t="s">
        <v>41</v>
      </c>
      <c r="F57">
        <v>1</v>
      </c>
      <c r="G57">
        <v>2</v>
      </c>
      <c r="H57" t="s">
        <v>14</v>
      </c>
      <c r="I57">
        <v>6</v>
      </c>
      <c r="J57" t="s">
        <v>44</v>
      </c>
      <c r="K57" t="s">
        <v>14</v>
      </c>
      <c r="L57" t="s">
        <v>16</v>
      </c>
    </row>
    <row r="58" spans="1:12" x14ac:dyDescent="0.3">
      <c r="A58">
        <v>2057</v>
      </c>
      <c r="B58">
        <v>74</v>
      </c>
      <c r="C58" t="s">
        <v>38</v>
      </c>
      <c r="D58" t="s">
        <v>17</v>
      </c>
      <c r="E58" t="s">
        <v>53</v>
      </c>
      <c r="F58">
        <v>4</v>
      </c>
      <c r="G58">
        <v>1</v>
      </c>
      <c r="H58" t="s">
        <v>16</v>
      </c>
      <c r="I58">
        <v>13</v>
      </c>
      <c r="J58" t="s">
        <v>33</v>
      </c>
      <c r="K58" t="s">
        <v>14</v>
      </c>
      <c r="L58" t="s">
        <v>16</v>
      </c>
    </row>
    <row r="59" spans="1:12" x14ac:dyDescent="0.3">
      <c r="A59">
        <v>2058</v>
      </c>
      <c r="B59">
        <v>25</v>
      </c>
      <c r="C59" t="s">
        <v>38</v>
      </c>
      <c r="D59" t="s">
        <v>13</v>
      </c>
      <c r="E59" t="s">
        <v>43</v>
      </c>
      <c r="F59">
        <v>9</v>
      </c>
      <c r="G59">
        <v>1</v>
      </c>
      <c r="H59" t="s">
        <v>16</v>
      </c>
      <c r="I59">
        <v>2</v>
      </c>
      <c r="J59" t="s">
        <v>33</v>
      </c>
      <c r="K59" t="s">
        <v>16</v>
      </c>
      <c r="L59" t="s">
        <v>16</v>
      </c>
    </row>
    <row r="60" spans="1:12" x14ac:dyDescent="0.3">
      <c r="A60">
        <v>2059</v>
      </c>
      <c r="B60">
        <v>61</v>
      </c>
      <c r="C60" t="s">
        <v>38</v>
      </c>
      <c r="D60" t="s">
        <v>19</v>
      </c>
      <c r="E60" t="s">
        <v>46</v>
      </c>
      <c r="F60">
        <v>6</v>
      </c>
      <c r="G60">
        <v>1</v>
      </c>
      <c r="H60" t="s">
        <v>16</v>
      </c>
      <c r="I60">
        <v>8</v>
      </c>
      <c r="J60" t="s">
        <v>33</v>
      </c>
      <c r="K60" t="s">
        <v>14</v>
      </c>
      <c r="L60" t="s">
        <v>16</v>
      </c>
    </row>
    <row r="61" spans="1:12" x14ac:dyDescent="0.3">
      <c r="A61">
        <v>2060</v>
      </c>
      <c r="B61">
        <v>34</v>
      </c>
      <c r="C61" t="s">
        <v>38</v>
      </c>
      <c r="D61" t="s">
        <v>18</v>
      </c>
      <c r="E61" t="s">
        <v>51</v>
      </c>
      <c r="F61">
        <v>1</v>
      </c>
      <c r="G61">
        <v>0</v>
      </c>
      <c r="H61" t="s">
        <v>14</v>
      </c>
      <c r="I61">
        <v>12</v>
      </c>
      <c r="J61" t="s">
        <v>33</v>
      </c>
      <c r="K61" t="s">
        <v>14</v>
      </c>
      <c r="L61" t="s">
        <v>16</v>
      </c>
    </row>
    <row r="62" spans="1:12" x14ac:dyDescent="0.3">
      <c r="A62">
        <v>2061</v>
      </c>
      <c r="B62">
        <v>47</v>
      </c>
      <c r="C62" t="s">
        <v>34</v>
      </c>
      <c r="D62" t="s">
        <v>13</v>
      </c>
      <c r="E62" t="s">
        <v>35</v>
      </c>
      <c r="F62">
        <v>7</v>
      </c>
      <c r="G62">
        <v>1</v>
      </c>
      <c r="H62" t="s">
        <v>16</v>
      </c>
      <c r="I62">
        <v>6</v>
      </c>
      <c r="J62" t="s">
        <v>36</v>
      </c>
      <c r="K62" t="s">
        <v>16</v>
      </c>
      <c r="L62" t="s">
        <v>16</v>
      </c>
    </row>
    <row r="63" spans="1:12" x14ac:dyDescent="0.3">
      <c r="A63">
        <v>2062</v>
      </c>
      <c r="B63">
        <v>60</v>
      </c>
      <c r="C63" t="s">
        <v>38</v>
      </c>
      <c r="D63" t="s">
        <v>19</v>
      </c>
      <c r="E63" t="s">
        <v>45</v>
      </c>
      <c r="F63">
        <v>14</v>
      </c>
      <c r="G63">
        <v>1</v>
      </c>
      <c r="H63" t="s">
        <v>16</v>
      </c>
      <c r="I63">
        <v>9</v>
      </c>
      <c r="J63" t="s">
        <v>33</v>
      </c>
      <c r="K63" t="s">
        <v>14</v>
      </c>
      <c r="L63" t="s">
        <v>16</v>
      </c>
    </row>
    <row r="64" spans="1:12" x14ac:dyDescent="0.3">
      <c r="A64">
        <v>2063</v>
      </c>
      <c r="B64">
        <v>79</v>
      </c>
      <c r="C64" t="s">
        <v>38</v>
      </c>
      <c r="D64" t="s">
        <v>15</v>
      </c>
      <c r="E64" t="s">
        <v>39</v>
      </c>
      <c r="F64">
        <v>6</v>
      </c>
      <c r="G64">
        <v>0</v>
      </c>
      <c r="H64" t="s">
        <v>14</v>
      </c>
      <c r="I64">
        <v>6</v>
      </c>
      <c r="J64" t="s">
        <v>33</v>
      </c>
      <c r="K64" t="s">
        <v>14</v>
      </c>
      <c r="L64" t="s">
        <v>16</v>
      </c>
    </row>
    <row r="65" spans="1:12" x14ac:dyDescent="0.3">
      <c r="A65">
        <v>2064</v>
      </c>
      <c r="B65">
        <v>84</v>
      </c>
      <c r="C65" t="s">
        <v>38</v>
      </c>
      <c r="D65" t="s">
        <v>18</v>
      </c>
      <c r="E65" t="s">
        <v>50</v>
      </c>
      <c r="F65">
        <v>13</v>
      </c>
      <c r="G65">
        <v>1</v>
      </c>
      <c r="H65" t="s">
        <v>14</v>
      </c>
      <c r="I65">
        <v>1</v>
      </c>
      <c r="J65" t="s">
        <v>33</v>
      </c>
      <c r="K65" t="s">
        <v>14</v>
      </c>
      <c r="L65" t="s">
        <v>16</v>
      </c>
    </row>
    <row r="66" spans="1:12" x14ac:dyDescent="0.3">
      <c r="A66">
        <v>2065</v>
      </c>
      <c r="B66">
        <v>73</v>
      </c>
      <c r="C66" t="s">
        <v>38</v>
      </c>
      <c r="D66" t="s">
        <v>19</v>
      </c>
      <c r="E66" t="s">
        <v>41</v>
      </c>
      <c r="F66">
        <v>3</v>
      </c>
      <c r="G66">
        <v>1</v>
      </c>
      <c r="H66" t="s">
        <v>16</v>
      </c>
      <c r="I66">
        <v>10</v>
      </c>
      <c r="J66" t="s">
        <v>33</v>
      </c>
      <c r="K66" t="s">
        <v>16</v>
      </c>
      <c r="L66" t="s">
        <v>16</v>
      </c>
    </row>
    <row r="67" spans="1:12" x14ac:dyDescent="0.3">
      <c r="A67">
        <v>2066</v>
      </c>
      <c r="B67">
        <v>40</v>
      </c>
      <c r="C67" t="s">
        <v>34</v>
      </c>
      <c r="D67" t="s">
        <v>13</v>
      </c>
      <c r="E67" t="s">
        <v>32</v>
      </c>
      <c r="F67">
        <v>11</v>
      </c>
      <c r="G67">
        <v>2</v>
      </c>
      <c r="H67" t="s">
        <v>14</v>
      </c>
      <c r="I67">
        <v>4</v>
      </c>
      <c r="J67" t="s">
        <v>33</v>
      </c>
      <c r="K67" t="s">
        <v>14</v>
      </c>
      <c r="L67" t="s">
        <v>14</v>
      </c>
    </row>
    <row r="68" spans="1:12" x14ac:dyDescent="0.3">
      <c r="A68">
        <v>2067</v>
      </c>
      <c r="B68">
        <v>29</v>
      </c>
      <c r="C68" t="s">
        <v>34</v>
      </c>
      <c r="D68" t="s">
        <v>13</v>
      </c>
      <c r="E68" t="s">
        <v>35</v>
      </c>
      <c r="F68">
        <v>6</v>
      </c>
      <c r="G68">
        <v>1</v>
      </c>
      <c r="H68" t="s">
        <v>16</v>
      </c>
      <c r="I68">
        <v>11</v>
      </c>
      <c r="J68" t="s">
        <v>36</v>
      </c>
      <c r="K68" t="s">
        <v>14</v>
      </c>
      <c r="L68" t="s">
        <v>16</v>
      </c>
    </row>
    <row r="69" spans="1:12" x14ac:dyDescent="0.3">
      <c r="A69">
        <v>2068</v>
      </c>
      <c r="B69">
        <v>67</v>
      </c>
      <c r="C69" t="s">
        <v>38</v>
      </c>
      <c r="D69" t="s">
        <v>15</v>
      </c>
      <c r="E69" t="s">
        <v>37</v>
      </c>
      <c r="F69">
        <v>8</v>
      </c>
      <c r="G69">
        <v>2</v>
      </c>
      <c r="H69" t="s">
        <v>16</v>
      </c>
      <c r="I69">
        <v>13</v>
      </c>
      <c r="J69" t="s">
        <v>33</v>
      </c>
      <c r="K69" t="s">
        <v>14</v>
      </c>
      <c r="L69" t="s">
        <v>16</v>
      </c>
    </row>
    <row r="70" spans="1:12" x14ac:dyDescent="0.3">
      <c r="A70">
        <v>2069</v>
      </c>
      <c r="B70">
        <v>89</v>
      </c>
      <c r="C70" t="s">
        <v>38</v>
      </c>
      <c r="D70" t="s">
        <v>13</v>
      </c>
      <c r="E70" t="s">
        <v>43</v>
      </c>
      <c r="F70">
        <v>5</v>
      </c>
      <c r="G70">
        <v>2</v>
      </c>
      <c r="H70" t="s">
        <v>14</v>
      </c>
      <c r="I70">
        <v>11</v>
      </c>
      <c r="J70" t="s">
        <v>33</v>
      </c>
      <c r="K70" t="s">
        <v>16</v>
      </c>
      <c r="L70" t="s">
        <v>14</v>
      </c>
    </row>
    <row r="71" spans="1:12" x14ac:dyDescent="0.3">
      <c r="A71">
        <v>2070</v>
      </c>
      <c r="B71">
        <v>21</v>
      </c>
      <c r="C71" t="s">
        <v>34</v>
      </c>
      <c r="D71" t="s">
        <v>15</v>
      </c>
      <c r="E71" t="s">
        <v>39</v>
      </c>
      <c r="F71">
        <v>4</v>
      </c>
      <c r="G71">
        <v>3</v>
      </c>
      <c r="H71" t="s">
        <v>14</v>
      </c>
      <c r="I71">
        <v>11</v>
      </c>
      <c r="J71" t="s">
        <v>33</v>
      </c>
      <c r="K71" t="s">
        <v>14</v>
      </c>
      <c r="L71" t="s">
        <v>16</v>
      </c>
    </row>
    <row r="72" spans="1:12" x14ac:dyDescent="0.3">
      <c r="A72">
        <v>2071</v>
      </c>
      <c r="B72">
        <v>25</v>
      </c>
      <c r="C72" t="s">
        <v>34</v>
      </c>
      <c r="D72" t="s">
        <v>19</v>
      </c>
      <c r="E72" t="s">
        <v>45</v>
      </c>
      <c r="F72">
        <v>2</v>
      </c>
      <c r="G72">
        <v>2</v>
      </c>
      <c r="H72" t="s">
        <v>16</v>
      </c>
      <c r="I72">
        <v>14</v>
      </c>
      <c r="J72" t="s">
        <v>33</v>
      </c>
      <c r="K72" t="s">
        <v>14</v>
      </c>
      <c r="L72" t="s">
        <v>16</v>
      </c>
    </row>
    <row r="73" spans="1:12" x14ac:dyDescent="0.3">
      <c r="A73">
        <v>2072</v>
      </c>
      <c r="B73">
        <v>73</v>
      </c>
      <c r="C73" t="s">
        <v>38</v>
      </c>
      <c r="D73" t="s">
        <v>19</v>
      </c>
      <c r="E73" t="s">
        <v>45</v>
      </c>
      <c r="F73">
        <v>4</v>
      </c>
      <c r="G73">
        <v>1</v>
      </c>
      <c r="H73" t="s">
        <v>16</v>
      </c>
      <c r="I73">
        <v>2</v>
      </c>
      <c r="J73" t="s">
        <v>48</v>
      </c>
      <c r="K73" t="s">
        <v>16</v>
      </c>
      <c r="L73" t="s">
        <v>16</v>
      </c>
    </row>
    <row r="74" spans="1:12" x14ac:dyDescent="0.3">
      <c r="A74">
        <v>2073</v>
      </c>
      <c r="B74">
        <v>72</v>
      </c>
      <c r="C74" t="s">
        <v>34</v>
      </c>
      <c r="D74" t="s">
        <v>19</v>
      </c>
      <c r="E74" t="s">
        <v>46</v>
      </c>
      <c r="F74">
        <v>4</v>
      </c>
      <c r="G74">
        <v>1</v>
      </c>
      <c r="H74" t="s">
        <v>16</v>
      </c>
      <c r="I74">
        <v>4</v>
      </c>
      <c r="J74" t="s">
        <v>44</v>
      </c>
      <c r="K74" t="s">
        <v>14</v>
      </c>
      <c r="L74" t="s">
        <v>16</v>
      </c>
    </row>
    <row r="75" spans="1:12" x14ac:dyDescent="0.3">
      <c r="A75">
        <v>2074</v>
      </c>
      <c r="B75">
        <v>25</v>
      </c>
      <c r="C75" t="s">
        <v>34</v>
      </c>
      <c r="D75" t="s">
        <v>15</v>
      </c>
      <c r="E75" t="s">
        <v>37</v>
      </c>
      <c r="F75">
        <v>12</v>
      </c>
      <c r="G75">
        <v>1</v>
      </c>
      <c r="H75" t="s">
        <v>16</v>
      </c>
      <c r="I75">
        <v>6</v>
      </c>
      <c r="J75" t="s">
        <v>33</v>
      </c>
      <c r="K75" t="s">
        <v>14</v>
      </c>
      <c r="L75" t="s">
        <v>16</v>
      </c>
    </row>
    <row r="76" spans="1:12" x14ac:dyDescent="0.3">
      <c r="A76">
        <v>2075</v>
      </c>
      <c r="B76">
        <v>33</v>
      </c>
      <c r="C76" t="s">
        <v>34</v>
      </c>
      <c r="D76" t="s">
        <v>13</v>
      </c>
      <c r="E76" t="s">
        <v>32</v>
      </c>
      <c r="F76">
        <v>7</v>
      </c>
      <c r="G76">
        <v>0</v>
      </c>
      <c r="H76" t="s">
        <v>14</v>
      </c>
      <c r="I76">
        <v>12</v>
      </c>
      <c r="J76" t="s">
        <v>33</v>
      </c>
      <c r="K76" t="s">
        <v>14</v>
      </c>
      <c r="L76" t="s">
        <v>16</v>
      </c>
    </row>
    <row r="77" spans="1:12" x14ac:dyDescent="0.3">
      <c r="A77">
        <v>2076</v>
      </c>
      <c r="B77">
        <v>50</v>
      </c>
      <c r="C77" t="s">
        <v>34</v>
      </c>
      <c r="D77" t="s">
        <v>19</v>
      </c>
      <c r="E77" t="s">
        <v>46</v>
      </c>
      <c r="F77">
        <v>8</v>
      </c>
      <c r="G77">
        <v>2</v>
      </c>
      <c r="H77" t="s">
        <v>14</v>
      </c>
      <c r="I77">
        <v>10</v>
      </c>
      <c r="J77" t="s">
        <v>44</v>
      </c>
      <c r="K77" t="s">
        <v>16</v>
      </c>
      <c r="L77" t="s">
        <v>14</v>
      </c>
    </row>
    <row r="78" spans="1:12" x14ac:dyDescent="0.3">
      <c r="A78">
        <v>2077</v>
      </c>
      <c r="B78">
        <v>44</v>
      </c>
      <c r="C78" t="s">
        <v>34</v>
      </c>
      <c r="D78" t="s">
        <v>19</v>
      </c>
      <c r="E78" t="s">
        <v>46</v>
      </c>
      <c r="F78">
        <v>14</v>
      </c>
      <c r="G78">
        <v>1</v>
      </c>
      <c r="H78" t="s">
        <v>16</v>
      </c>
      <c r="I78">
        <v>9</v>
      </c>
      <c r="J78" t="s">
        <v>33</v>
      </c>
      <c r="K78" t="s">
        <v>14</v>
      </c>
      <c r="L78" t="s">
        <v>16</v>
      </c>
    </row>
    <row r="79" spans="1:12" x14ac:dyDescent="0.3">
      <c r="A79">
        <v>2078</v>
      </c>
      <c r="B79">
        <v>51</v>
      </c>
      <c r="C79" t="s">
        <v>38</v>
      </c>
      <c r="D79" t="s">
        <v>19</v>
      </c>
      <c r="E79" t="s">
        <v>41</v>
      </c>
      <c r="F79">
        <v>12</v>
      </c>
      <c r="G79">
        <v>1</v>
      </c>
      <c r="H79" t="s">
        <v>14</v>
      </c>
      <c r="I79">
        <v>14</v>
      </c>
      <c r="J79" t="s">
        <v>48</v>
      </c>
      <c r="K79" t="s">
        <v>16</v>
      </c>
      <c r="L79" t="s">
        <v>14</v>
      </c>
    </row>
    <row r="80" spans="1:12" x14ac:dyDescent="0.3">
      <c r="A80">
        <v>2079</v>
      </c>
      <c r="B80">
        <v>73</v>
      </c>
      <c r="C80" t="s">
        <v>34</v>
      </c>
      <c r="D80" t="s">
        <v>19</v>
      </c>
      <c r="E80" t="s">
        <v>41</v>
      </c>
      <c r="F80">
        <v>5</v>
      </c>
      <c r="G80">
        <v>0</v>
      </c>
      <c r="H80" t="s">
        <v>16</v>
      </c>
      <c r="I80">
        <v>6</v>
      </c>
      <c r="J80" t="s">
        <v>33</v>
      </c>
      <c r="K80" t="s">
        <v>14</v>
      </c>
      <c r="L80" t="s">
        <v>16</v>
      </c>
    </row>
    <row r="81" spans="1:12" x14ac:dyDescent="0.3">
      <c r="A81">
        <v>2080</v>
      </c>
      <c r="B81">
        <v>52</v>
      </c>
      <c r="C81" t="s">
        <v>38</v>
      </c>
      <c r="D81" t="s">
        <v>18</v>
      </c>
      <c r="E81" t="s">
        <v>50</v>
      </c>
      <c r="F81">
        <v>13</v>
      </c>
      <c r="G81">
        <v>3</v>
      </c>
      <c r="H81" t="s">
        <v>16</v>
      </c>
      <c r="I81">
        <v>5</v>
      </c>
      <c r="J81" t="s">
        <v>33</v>
      </c>
      <c r="K81" t="s">
        <v>14</v>
      </c>
      <c r="L81" t="s">
        <v>16</v>
      </c>
    </row>
    <row r="82" spans="1:12" x14ac:dyDescent="0.3">
      <c r="A82">
        <v>2081</v>
      </c>
      <c r="B82">
        <v>28</v>
      </c>
      <c r="C82" t="s">
        <v>38</v>
      </c>
      <c r="D82" t="s">
        <v>17</v>
      </c>
      <c r="E82" t="s">
        <v>53</v>
      </c>
      <c r="F82">
        <v>8</v>
      </c>
      <c r="G82">
        <v>1</v>
      </c>
      <c r="H82" t="s">
        <v>14</v>
      </c>
      <c r="I82">
        <v>2</v>
      </c>
      <c r="J82" t="s">
        <v>36</v>
      </c>
      <c r="K82" t="s">
        <v>16</v>
      </c>
      <c r="L82" t="s">
        <v>14</v>
      </c>
    </row>
    <row r="83" spans="1:12" x14ac:dyDescent="0.3">
      <c r="A83">
        <v>2082</v>
      </c>
      <c r="B83">
        <v>31</v>
      </c>
      <c r="C83" t="s">
        <v>38</v>
      </c>
      <c r="D83" t="s">
        <v>17</v>
      </c>
      <c r="E83" t="s">
        <v>42</v>
      </c>
      <c r="F83">
        <v>6</v>
      </c>
      <c r="G83">
        <v>3</v>
      </c>
      <c r="H83" t="s">
        <v>14</v>
      </c>
      <c r="I83">
        <v>5</v>
      </c>
      <c r="J83" t="s">
        <v>48</v>
      </c>
      <c r="K83" t="s">
        <v>16</v>
      </c>
      <c r="L83" t="s">
        <v>14</v>
      </c>
    </row>
    <row r="84" spans="1:12" x14ac:dyDescent="0.3">
      <c r="A84">
        <v>2083</v>
      </c>
      <c r="B84">
        <v>53</v>
      </c>
      <c r="C84" t="s">
        <v>34</v>
      </c>
      <c r="D84" t="s">
        <v>15</v>
      </c>
      <c r="E84" t="s">
        <v>40</v>
      </c>
      <c r="F84">
        <v>9</v>
      </c>
      <c r="G84">
        <v>2</v>
      </c>
      <c r="H84" t="s">
        <v>16</v>
      </c>
      <c r="I84">
        <v>8</v>
      </c>
      <c r="J84" t="s">
        <v>48</v>
      </c>
      <c r="K84" t="s">
        <v>14</v>
      </c>
      <c r="L84" t="s">
        <v>16</v>
      </c>
    </row>
    <row r="85" spans="1:12" x14ac:dyDescent="0.3">
      <c r="A85">
        <v>2084</v>
      </c>
      <c r="B85">
        <v>62</v>
      </c>
      <c r="C85" t="s">
        <v>34</v>
      </c>
      <c r="D85" t="s">
        <v>18</v>
      </c>
      <c r="E85" t="s">
        <v>51</v>
      </c>
      <c r="F85">
        <v>6</v>
      </c>
      <c r="G85">
        <v>0</v>
      </c>
      <c r="H85" t="s">
        <v>16</v>
      </c>
      <c r="I85">
        <v>7</v>
      </c>
      <c r="J85" t="s">
        <v>33</v>
      </c>
      <c r="K85" t="s">
        <v>16</v>
      </c>
      <c r="L85" t="s">
        <v>16</v>
      </c>
    </row>
    <row r="86" spans="1:12" x14ac:dyDescent="0.3">
      <c r="A86">
        <v>2085</v>
      </c>
      <c r="B86">
        <v>20</v>
      </c>
      <c r="C86" t="s">
        <v>38</v>
      </c>
      <c r="D86" t="s">
        <v>13</v>
      </c>
      <c r="E86" t="s">
        <v>43</v>
      </c>
      <c r="F86">
        <v>6</v>
      </c>
      <c r="G86">
        <v>4</v>
      </c>
      <c r="H86" t="s">
        <v>16</v>
      </c>
      <c r="I86">
        <v>5</v>
      </c>
      <c r="J86" t="s">
        <v>33</v>
      </c>
      <c r="K86" t="s">
        <v>16</v>
      </c>
      <c r="L86" t="s">
        <v>16</v>
      </c>
    </row>
    <row r="87" spans="1:12" x14ac:dyDescent="0.3">
      <c r="A87">
        <v>2086</v>
      </c>
      <c r="B87">
        <v>66</v>
      </c>
      <c r="C87" t="s">
        <v>38</v>
      </c>
      <c r="D87" t="s">
        <v>15</v>
      </c>
      <c r="E87" t="s">
        <v>40</v>
      </c>
      <c r="F87">
        <v>2</v>
      </c>
      <c r="G87">
        <v>2</v>
      </c>
      <c r="H87" t="s">
        <v>16</v>
      </c>
      <c r="I87">
        <v>12</v>
      </c>
      <c r="J87" t="s">
        <v>33</v>
      </c>
      <c r="K87" t="s">
        <v>14</v>
      </c>
      <c r="L87" t="s">
        <v>16</v>
      </c>
    </row>
    <row r="88" spans="1:12" x14ac:dyDescent="0.3">
      <c r="A88">
        <v>2087</v>
      </c>
      <c r="B88">
        <v>63</v>
      </c>
      <c r="C88" t="s">
        <v>34</v>
      </c>
      <c r="D88" t="s">
        <v>15</v>
      </c>
      <c r="E88" t="s">
        <v>37</v>
      </c>
      <c r="F88">
        <v>5</v>
      </c>
      <c r="G88">
        <v>1</v>
      </c>
      <c r="H88" t="s">
        <v>14</v>
      </c>
      <c r="I88">
        <v>7</v>
      </c>
      <c r="J88" t="s">
        <v>44</v>
      </c>
      <c r="K88" t="s">
        <v>14</v>
      </c>
      <c r="L88" t="s">
        <v>16</v>
      </c>
    </row>
    <row r="89" spans="1:12" x14ac:dyDescent="0.3">
      <c r="A89">
        <v>2088</v>
      </c>
      <c r="B89">
        <v>75</v>
      </c>
      <c r="C89" t="s">
        <v>34</v>
      </c>
      <c r="D89" t="s">
        <v>18</v>
      </c>
      <c r="E89" t="s">
        <v>52</v>
      </c>
      <c r="F89">
        <v>2</v>
      </c>
      <c r="G89">
        <v>2</v>
      </c>
      <c r="H89" t="s">
        <v>16</v>
      </c>
      <c r="I89">
        <v>1</v>
      </c>
      <c r="J89" t="s">
        <v>48</v>
      </c>
      <c r="K89" t="s">
        <v>14</v>
      </c>
      <c r="L89" t="s">
        <v>16</v>
      </c>
    </row>
    <row r="90" spans="1:12" x14ac:dyDescent="0.3">
      <c r="A90">
        <v>2089</v>
      </c>
      <c r="B90">
        <v>36</v>
      </c>
      <c r="C90" t="s">
        <v>34</v>
      </c>
      <c r="D90" t="s">
        <v>15</v>
      </c>
      <c r="E90" t="s">
        <v>37</v>
      </c>
      <c r="F90">
        <v>12</v>
      </c>
      <c r="G90">
        <v>1</v>
      </c>
      <c r="H90" t="s">
        <v>16</v>
      </c>
      <c r="I90">
        <v>4</v>
      </c>
      <c r="J90" t="s">
        <v>48</v>
      </c>
      <c r="K90" t="s">
        <v>16</v>
      </c>
      <c r="L90" t="s">
        <v>16</v>
      </c>
    </row>
    <row r="91" spans="1:12" x14ac:dyDescent="0.3">
      <c r="A91">
        <v>2090</v>
      </c>
      <c r="B91">
        <v>68</v>
      </c>
      <c r="C91" t="s">
        <v>38</v>
      </c>
      <c r="D91" t="s">
        <v>17</v>
      </c>
      <c r="E91" t="s">
        <v>42</v>
      </c>
      <c r="F91">
        <v>12</v>
      </c>
      <c r="G91">
        <v>3</v>
      </c>
      <c r="H91" t="s">
        <v>14</v>
      </c>
      <c r="I91">
        <v>8</v>
      </c>
      <c r="J91" t="s">
        <v>33</v>
      </c>
      <c r="K91" t="s">
        <v>14</v>
      </c>
      <c r="L91" t="s">
        <v>14</v>
      </c>
    </row>
    <row r="92" spans="1:12" x14ac:dyDescent="0.3">
      <c r="A92">
        <v>2091</v>
      </c>
      <c r="B92">
        <v>41</v>
      </c>
      <c r="C92" t="s">
        <v>34</v>
      </c>
      <c r="D92" t="s">
        <v>17</v>
      </c>
      <c r="E92" t="s">
        <v>49</v>
      </c>
      <c r="F92">
        <v>12</v>
      </c>
      <c r="G92">
        <v>2</v>
      </c>
      <c r="H92" t="s">
        <v>14</v>
      </c>
      <c r="I92">
        <v>10</v>
      </c>
      <c r="J92" t="s">
        <v>48</v>
      </c>
      <c r="K92" t="s">
        <v>14</v>
      </c>
      <c r="L92" t="s">
        <v>16</v>
      </c>
    </row>
    <row r="93" spans="1:12" x14ac:dyDescent="0.3">
      <c r="A93">
        <v>2092</v>
      </c>
      <c r="B93">
        <v>70</v>
      </c>
      <c r="C93" t="s">
        <v>38</v>
      </c>
      <c r="D93" t="s">
        <v>13</v>
      </c>
      <c r="E93" t="s">
        <v>32</v>
      </c>
      <c r="F93">
        <v>2</v>
      </c>
      <c r="G93">
        <v>1</v>
      </c>
      <c r="H93" t="s">
        <v>16</v>
      </c>
      <c r="I93">
        <v>13</v>
      </c>
      <c r="J93" t="s">
        <v>48</v>
      </c>
      <c r="K93" t="s">
        <v>14</v>
      </c>
      <c r="L93" t="s">
        <v>16</v>
      </c>
    </row>
    <row r="94" spans="1:12" x14ac:dyDescent="0.3">
      <c r="A94">
        <v>2093</v>
      </c>
      <c r="B94">
        <v>39</v>
      </c>
      <c r="C94" t="s">
        <v>34</v>
      </c>
      <c r="D94" t="s">
        <v>19</v>
      </c>
      <c r="E94" t="s">
        <v>41</v>
      </c>
      <c r="F94">
        <v>9</v>
      </c>
      <c r="G94">
        <v>0</v>
      </c>
      <c r="H94" t="s">
        <v>14</v>
      </c>
      <c r="I94">
        <v>3</v>
      </c>
      <c r="J94" t="s">
        <v>33</v>
      </c>
      <c r="K94" t="s">
        <v>14</v>
      </c>
      <c r="L94" t="s">
        <v>16</v>
      </c>
    </row>
    <row r="95" spans="1:12" x14ac:dyDescent="0.3">
      <c r="A95">
        <v>2094</v>
      </c>
      <c r="B95">
        <v>29</v>
      </c>
      <c r="C95" t="s">
        <v>38</v>
      </c>
      <c r="D95" t="s">
        <v>15</v>
      </c>
      <c r="E95" t="s">
        <v>40</v>
      </c>
      <c r="F95">
        <v>6</v>
      </c>
      <c r="G95">
        <v>0</v>
      </c>
      <c r="H95" t="s">
        <v>16</v>
      </c>
      <c r="I95">
        <v>6</v>
      </c>
      <c r="J95" t="s">
        <v>44</v>
      </c>
      <c r="K95" t="s">
        <v>16</v>
      </c>
      <c r="L95" t="s">
        <v>16</v>
      </c>
    </row>
    <row r="96" spans="1:12" x14ac:dyDescent="0.3">
      <c r="A96">
        <v>2095</v>
      </c>
      <c r="B96">
        <v>25</v>
      </c>
      <c r="C96" t="s">
        <v>34</v>
      </c>
      <c r="D96" t="s">
        <v>17</v>
      </c>
      <c r="E96" t="s">
        <v>42</v>
      </c>
      <c r="F96">
        <v>6</v>
      </c>
      <c r="G96">
        <v>2</v>
      </c>
      <c r="H96" t="s">
        <v>14</v>
      </c>
      <c r="I96">
        <v>3</v>
      </c>
      <c r="J96" t="s">
        <v>44</v>
      </c>
      <c r="K96" t="s">
        <v>14</v>
      </c>
      <c r="L96" t="s">
        <v>16</v>
      </c>
    </row>
    <row r="97" spans="1:12" x14ac:dyDescent="0.3">
      <c r="A97">
        <v>2096</v>
      </c>
      <c r="B97">
        <v>61</v>
      </c>
      <c r="C97" t="s">
        <v>38</v>
      </c>
      <c r="D97" t="s">
        <v>15</v>
      </c>
      <c r="E97" t="s">
        <v>37</v>
      </c>
      <c r="F97">
        <v>13</v>
      </c>
      <c r="G97">
        <v>0</v>
      </c>
      <c r="H97" t="s">
        <v>16</v>
      </c>
      <c r="I97">
        <v>1</v>
      </c>
      <c r="J97" t="s">
        <v>36</v>
      </c>
      <c r="K97" t="s">
        <v>14</v>
      </c>
      <c r="L97" t="s">
        <v>16</v>
      </c>
    </row>
    <row r="98" spans="1:12" x14ac:dyDescent="0.3">
      <c r="A98">
        <v>2097</v>
      </c>
      <c r="B98">
        <v>36</v>
      </c>
      <c r="C98" t="s">
        <v>34</v>
      </c>
      <c r="D98" t="s">
        <v>13</v>
      </c>
      <c r="E98" t="s">
        <v>32</v>
      </c>
      <c r="F98">
        <v>5</v>
      </c>
      <c r="G98">
        <v>2</v>
      </c>
      <c r="H98" t="s">
        <v>16</v>
      </c>
      <c r="I98">
        <v>12</v>
      </c>
      <c r="J98" t="s">
        <v>33</v>
      </c>
      <c r="K98" t="s">
        <v>16</v>
      </c>
      <c r="L98" t="s">
        <v>16</v>
      </c>
    </row>
    <row r="99" spans="1:12" x14ac:dyDescent="0.3">
      <c r="A99">
        <v>2098</v>
      </c>
      <c r="B99">
        <v>53</v>
      </c>
      <c r="C99" t="s">
        <v>34</v>
      </c>
      <c r="D99" t="s">
        <v>13</v>
      </c>
      <c r="E99" t="s">
        <v>35</v>
      </c>
      <c r="F99">
        <v>1</v>
      </c>
      <c r="G99">
        <v>4</v>
      </c>
      <c r="H99" t="s">
        <v>16</v>
      </c>
      <c r="I99">
        <v>4</v>
      </c>
      <c r="J99" t="s">
        <v>33</v>
      </c>
      <c r="K99" t="s">
        <v>14</v>
      </c>
      <c r="L99" t="s">
        <v>16</v>
      </c>
    </row>
    <row r="100" spans="1:12" x14ac:dyDescent="0.3">
      <c r="A100">
        <v>2099</v>
      </c>
      <c r="B100">
        <v>52</v>
      </c>
      <c r="C100" t="s">
        <v>34</v>
      </c>
      <c r="D100" t="s">
        <v>19</v>
      </c>
      <c r="E100" t="s">
        <v>45</v>
      </c>
      <c r="F100">
        <v>11</v>
      </c>
      <c r="G100">
        <v>0</v>
      </c>
      <c r="H100" t="s">
        <v>16</v>
      </c>
      <c r="I100">
        <v>2</v>
      </c>
      <c r="J100" t="s">
        <v>33</v>
      </c>
      <c r="K100" t="s">
        <v>14</v>
      </c>
      <c r="L100" t="s">
        <v>16</v>
      </c>
    </row>
    <row r="101" spans="1:12" x14ac:dyDescent="0.3">
      <c r="A101">
        <v>2100</v>
      </c>
      <c r="B101">
        <v>85</v>
      </c>
      <c r="C101" t="s">
        <v>38</v>
      </c>
      <c r="D101" t="s">
        <v>17</v>
      </c>
      <c r="E101" t="s">
        <v>49</v>
      </c>
      <c r="F101">
        <v>10</v>
      </c>
      <c r="G101">
        <v>2</v>
      </c>
      <c r="H101" t="s">
        <v>14</v>
      </c>
      <c r="I101">
        <v>6</v>
      </c>
      <c r="J101" t="s">
        <v>33</v>
      </c>
      <c r="K101" t="s">
        <v>16</v>
      </c>
      <c r="L101" t="s">
        <v>14</v>
      </c>
    </row>
    <row r="102" spans="1:12" x14ac:dyDescent="0.3">
      <c r="A102">
        <v>2101</v>
      </c>
      <c r="B102">
        <v>81</v>
      </c>
      <c r="C102" t="s">
        <v>34</v>
      </c>
      <c r="D102" t="s">
        <v>15</v>
      </c>
      <c r="E102" t="s">
        <v>37</v>
      </c>
      <c r="F102">
        <v>5</v>
      </c>
      <c r="G102">
        <v>1</v>
      </c>
      <c r="H102" t="s">
        <v>16</v>
      </c>
      <c r="I102">
        <v>11</v>
      </c>
      <c r="J102" t="s">
        <v>44</v>
      </c>
      <c r="K102" t="s">
        <v>16</v>
      </c>
      <c r="L102" t="s">
        <v>16</v>
      </c>
    </row>
    <row r="103" spans="1:12" x14ac:dyDescent="0.3">
      <c r="A103">
        <v>2102</v>
      </c>
      <c r="B103">
        <v>21</v>
      </c>
      <c r="C103" t="s">
        <v>34</v>
      </c>
      <c r="D103" t="s">
        <v>15</v>
      </c>
      <c r="E103" t="s">
        <v>39</v>
      </c>
      <c r="F103">
        <v>2</v>
      </c>
      <c r="G103">
        <v>1</v>
      </c>
      <c r="H103" t="s">
        <v>16</v>
      </c>
      <c r="I103">
        <v>6</v>
      </c>
      <c r="J103" t="s">
        <v>33</v>
      </c>
      <c r="K103" t="s">
        <v>16</v>
      </c>
      <c r="L103" t="s">
        <v>16</v>
      </c>
    </row>
    <row r="104" spans="1:12" x14ac:dyDescent="0.3">
      <c r="A104">
        <v>2103</v>
      </c>
      <c r="B104">
        <v>46</v>
      </c>
      <c r="C104" t="s">
        <v>38</v>
      </c>
      <c r="D104" t="s">
        <v>18</v>
      </c>
      <c r="E104" t="s">
        <v>51</v>
      </c>
      <c r="F104">
        <v>3</v>
      </c>
      <c r="G104">
        <v>2</v>
      </c>
      <c r="H104" t="s">
        <v>14</v>
      </c>
      <c r="I104">
        <v>3</v>
      </c>
      <c r="J104" t="s">
        <v>44</v>
      </c>
      <c r="K104" t="s">
        <v>14</v>
      </c>
      <c r="L104" t="s">
        <v>16</v>
      </c>
    </row>
    <row r="105" spans="1:12" x14ac:dyDescent="0.3">
      <c r="A105">
        <v>2104</v>
      </c>
      <c r="B105">
        <v>66</v>
      </c>
      <c r="C105" t="s">
        <v>38</v>
      </c>
      <c r="D105" t="s">
        <v>19</v>
      </c>
      <c r="E105" t="s">
        <v>41</v>
      </c>
      <c r="F105">
        <v>6</v>
      </c>
      <c r="G105">
        <v>1</v>
      </c>
      <c r="H105" t="s">
        <v>16</v>
      </c>
      <c r="I105">
        <v>4</v>
      </c>
      <c r="J105" t="s">
        <v>33</v>
      </c>
      <c r="K105" t="s">
        <v>14</v>
      </c>
      <c r="L105" t="s">
        <v>16</v>
      </c>
    </row>
    <row r="106" spans="1:12" x14ac:dyDescent="0.3">
      <c r="A106">
        <v>2105</v>
      </c>
      <c r="B106">
        <v>26</v>
      </c>
      <c r="C106" t="s">
        <v>34</v>
      </c>
      <c r="D106" t="s">
        <v>15</v>
      </c>
      <c r="E106" t="s">
        <v>40</v>
      </c>
      <c r="F106">
        <v>5</v>
      </c>
      <c r="G106">
        <v>0</v>
      </c>
      <c r="H106" t="s">
        <v>14</v>
      </c>
      <c r="I106">
        <v>11</v>
      </c>
      <c r="J106" t="s">
        <v>44</v>
      </c>
      <c r="K106" t="s">
        <v>14</v>
      </c>
      <c r="L106" t="s">
        <v>16</v>
      </c>
    </row>
    <row r="107" spans="1:12" x14ac:dyDescent="0.3">
      <c r="A107">
        <v>2106</v>
      </c>
      <c r="B107">
        <v>21</v>
      </c>
      <c r="C107" t="s">
        <v>34</v>
      </c>
      <c r="D107" t="s">
        <v>17</v>
      </c>
      <c r="E107" t="s">
        <v>49</v>
      </c>
      <c r="F107">
        <v>8</v>
      </c>
      <c r="G107">
        <v>0</v>
      </c>
      <c r="H107" t="s">
        <v>14</v>
      </c>
      <c r="I107">
        <v>1</v>
      </c>
      <c r="J107" t="s">
        <v>44</v>
      </c>
      <c r="K107" t="s">
        <v>14</v>
      </c>
      <c r="L107" t="s">
        <v>16</v>
      </c>
    </row>
    <row r="108" spans="1:12" x14ac:dyDescent="0.3">
      <c r="A108">
        <v>2107</v>
      </c>
      <c r="B108">
        <v>23</v>
      </c>
      <c r="C108" t="s">
        <v>38</v>
      </c>
      <c r="D108" t="s">
        <v>18</v>
      </c>
      <c r="E108" t="s">
        <v>51</v>
      </c>
      <c r="F108">
        <v>1</v>
      </c>
      <c r="G108">
        <v>0</v>
      </c>
      <c r="H108" t="s">
        <v>14</v>
      </c>
      <c r="I108">
        <v>10</v>
      </c>
      <c r="J108" t="s">
        <v>33</v>
      </c>
      <c r="K108" t="s">
        <v>16</v>
      </c>
      <c r="L108" t="s">
        <v>16</v>
      </c>
    </row>
    <row r="109" spans="1:12" x14ac:dyDescent="0.3">
      <c r="A109">
        <v>2108</v>
      </c>
      <c r="B109">
        <v>28</v>
      </c>
      <c r="C109" t="s">
        <v>38</v>
      </c>
      <c r="D109" t="s">
        <v>17</v>
      </c>
      <c r="E109" t="s">
        <v>42</v>
      </c>
      <c r="F109">
        <v>14</v>
      </c>
      <c r="G109">
        <v>2</v>
      </c>
      <c r="H109" t="s">
        <v>16</v>
      </c>
      <c r="I109">
        <v>8</v>
      </c>
      <c r="J109" t="s">
        <v>48</v>
      </c>
      <c r="K109" t="s">
        <v>16</v>
      </c>
      <c r="L109" t="s">
        <v>16</v>
      </c>
    </row>
    <row r="110" spans="1:12" x14ac:dyDescent="0.3">
      <c r="A110">
        <v>2109</v>
      </c>
      <c r="B110">
        <v>86</v>
      </c>
      <c r="C110" t="s">
        <v>38</v>
      </c>
      <c r="D110" t="s">
        <v>19</v>
      </c>
      <c r="E110" t="s">
        <v>46</v>
      </c>
      <c r="F110">
        <v>8</v>
      </c>
      <c r="G110">
        <v>0</v>
      </c>
      <c r="H110" t="s">
        <v>16</v>
      </c>
      <c r="I110">
        <v>5</v>
      </c>
      <c r="J110" t="s">
        <v>33</v>
      </c>
      <c r="K110" t="s">
        <v>14</v>
      </c>
      <c r="L110" t="s">
        <v>16</v>
      </c>
    </row>
    <row r="111" spans="1:12" x14ac:dyDescent="0.3">
      <c r="A111">
        <v>2110</v>
      </c>
      <c r="B111">
        <v>77</v>
      </c>
      <c r="C111" t="s">
        <v>34</v>
      </c>
      <c r="D111" t="s">
        <v>19</v>
      </c>
      <c r="E111" t="s">
        <v>45</v>
      </c>
      <c r="F111">
        <v>9</v>
      </c>
      <c r="G111">
        <v>1</v>
      </c>
      <c r="H111" t="s">
        <v>14</v>
      </c>
      <c r="I111">
        <v>8</v>
      </c>
      <c r="J111" t="s">
        <v>33</v>
      </c>
      <c r="K111" t="s">
        <v>14</v>
      </c>
      <c r="L111" t="s">
        <v>14</v>
      </c>
    </row>
    <row r="112" spans="1:12" x14ac:dyDescent="0.3">
      <c r="A112">
        <v>2111</v>
      </c>
      <c r="B112">
        <v>65</v>
      </c>
      <c r="C112" t="s">
        <v>34</v>
      </c>
      <c r="D112" t="s">
        <v>18</v>
      </c>
      <c r="E112" t="s">
        <v>51</v>
      </c>
      <c r="F112">
        <v>8</v>
      </c>
      <c r="G112">
        <v>0</v>
      </c>
      <c r="H112" t="s">
        <v>16</v>
      </c>
      <c r="I112">
        <v>4</v>
      </c>
      <c r="J112" t="s">
        <v>33</v>
      </c>
      <c r="K112" t="s">
        <v>14</v>
      </c>
      <c r="L112" t="s">
        <v>16</v>
      </c>
    </row>
    <row r="113" spans="1:12" x14ac:dyDescent="0.3">
      <c r="A113">
        <v>2112</v>
      </c>
      <c r="B113">
        <v>88</v>
      </c>
      <c r="C113" t="s">
        <v>34</v>
      </c>
      <c r="D113" t="s">
        <v>19</v>
      </c>
      <c r="E113" t="s">
        <v>46</v>
      </c>
      <c r="F113">
        <v>4</v>
      </c>
      <c r="G113">
        <v>1</v>
      </c>
      <c r="H113" t="s">
        <v>16</v>
      </c>
      <c r="I113">
        <v>5</v>
      </c>
      <c r="J113" t="s">
        <v>44</v>
      </c>
      <c r="K113" t="s">
        <v>16</v>
      </c>
      <c r="L113" t="s">
        <v>16</v>
      </c>
    </row>
    <row r="114" spans="1:12" x14ac:dyDescent="0.3">
      <c r="A114">
        <v>2113</v>
      </c>
      <c r="B114">
        <v>36</v>
      </c>
      <c r="C114" t="s">
        <v>34</v>
      </c>
      <c r="D114" t="s">
        <v>18</v>
      </c>
      <c r="E114" t="s">
        <v>51</v>
      </c>
      <c r="F114">
        <v>7</v>
      </c>
      <c r="G114">
        <v>1</v>
      </c>
      <c r="H114" t="s">
        <v>14</v>
      </c>
      <c r="I114">
        <v>6</v>
      </c>
      <c r="J114" t="s">
        <v>44</v>
      </c>
      <c r="K114" t="s">
        <v>14</v>
      </c>
      <c r="L114" t="s">
        <v>16</v>
      </c>
    </row>
    <row r="115" spans="1:12" x14ac:dyDescent="0.3">
      <c r="A115">
        <v>2114</v>
      </c>
      <c r="B115">
        <v>69</v>
      </c>
      <c r="C115" t="s">
        <v>38</v>
      </c>
      <c r="D115" t="s">
        <v>13</v>
      </c>
      <c r="E115" t="s">
        <v>35</v>
      </c>
      <c r="F115">
        <v>8</v>
      </c>
      <c r="G115">
        <v>1</v>
      </c>
      <c r="H115" t="s">
        <v>16</v>
      </c>
      <c r="I115">
        <v>8</v>
      </c>
      <c r="J115" t="s">
        <v>33</v>
      </c>
      <c r="K115" t="s">
        <v>14</v>
      </c>
      <c r="L115" t="s">
        <v>16</v>
      </c>
    </row>
    <row r="116" spans="1:12" x14ac:dyDescent="0.3">
      <c r="A116">
        <v>2115</v>
      </c>
      <c r="B116">
        <v>48</v>
      </c>
      <c r="C116" t="s">
        <v>38</v>
      </c>
      <c r="D116" t="s">
        <v>18</v>
      </c>
      <c r="E116" t="s">
        <v>51</v>
      </c>
      <c r="F116">
        <v>1</v>
      </c>
      <c r="G116">
        <v>0</v>
      </c>
      <c r="H116" t="s">
        <v>16</v>
      </c>
      <c r="I116">
        <v>2</v>
      </c>
      <c r="J116" t="s">
        <v>33</v>
      </c>
      <c r="K116" t="s">
        <v>16</v>
      </c>
      <c r="L116" t="s">
        <v>16</v>
      </c>
    </row>
    <row r="117" spans="1:12" x14ac:dyDescent="0.3">
      <c r="A117">
        <v>2116</v>
      </c>
      <c r="B117">
        <v>84</v>
      </c>
      <c r="C117" t="s">
        <v>38</v>
      </c>
      <c r="D117" t="s">
        <v>13</v>
      </c>
      <c r="E117" t="s">
        <v>32</v>
      </c>
      <c r="F117">
        <v>3</v>
      </c>
      <c r="G117">
        <v>0</v>
      </c>
      <c r="H117" t="s">
        <v>14</v>
      </c>
      <c r="I117">
        <v>3</v>
      </c>
      <c r="J117" t="s">
        <v>36</v>
      </c>
      <c r="K117" t="s">
        <v>16</v>
      </c>
      <c r="L117" t="s">
        <v>14</v>
      </c>
    </row>
    <row r="118" spans="1:12" x14ac:dyDescent="0.3">
      <c r="A118">
        <v>2117</v>
      </c>
      <c r="B118">
        <v>49</v>
      </c>
      <c r="C118" t="s">
        <v>34</v>
      </c>
      <c r="D118" t="s">
        <v>13</v>
      </c>
      <c r="E118" t="s">
        <v>32</v>
      </c>
      <c r="F118">
        <v>4</v>
      </c>
      <c r="G118">
        <v>1</v>
      </c>
      <c r="H118" t="s">
        <v>16</v>
      </c>
      <c r="I118">
        <v>2</v>
      </c>
      <c r="J118" t="s">
        <v>33</v>
      </c>
      <c r="K118" t="s">
        <v>14</v>
      </c>
      <c r="L118" t="s">
        <v>16</v>
      </c>
    </row>
    <row r="119" spans="1:12" x14ac:dyDescent="0.3">
      <c r="A119">
        <v>2118</v>
      </c>
      <c r="B119">
        <v>72</v>
      </c>
      <c r="C119" t="s">
        <v>38</v>
      </c>
      <c r="D119" t="s">
        <v>18</v>
      </c>
      <c r="E119" t="s">
        <v>52</v>
      </c>
      <c r="F119">
        <v>9</v>
      </c>
      <c r="G119">
        <v>1</v>
      </c>
      <c r="H119" t="s">
        <v>16</v>
      </c>
      <c r="I119">
        <v>11</v>
      </c>
      <c r="J119" t="s">
        <v>33</v>
      </c>
      <c r="K119" t="s">
        <v>16</v>
      </c>
      <c r="L119" t="s">
        <v>16</v>
      </c>
    </row>
    <row r="120" spans="1:12" x14ac:dyDescent="0.3">
      <c r="A120">
        <v>2119</v>
      </c>
      <c r="B120">
        <v>52</v>
      </c>
      <c r="C120" t="s">
        <v>38</v>
      </c>
      <c r="D120" t="s">
        <v>13</v>
      </c>
      <c r="E120" t="s">
        <v>35</v>
      </c>
      <c r="F120">
        <v>4</v>
      </c>
      <c r="G120">
        <v>2</v>
      </c>
      <c r="H120" t="s">
        <v>16</v>
      </c>
      <c r="I120">
        <v>14</v>
      </c>
      <c r="J120" t="s">
        <v>44</v>
      </c>
      <c r="K120" t="s">
        <v>16</v>
      </c>
      <c r="L120" t="s">
        <v>14</v>
      </c>
    </row>
    <row r="121" spans="1:12" x14ac:dyDescent="0.3">
      <c r="A121">
        <v>2120</v>
      </c>
      <c r="B121">
        <v>52</v>
      </c>
      <c r="C121" t="s">
        <v>34</v>
      </c>
      <c r="D121" t="s">
        <v>19</v>
      </c>
      <c r="E121" t="s">
        <v>45</v>
      </c>
      <c r="F121">
        <v>12</v>
      </c>
      <c r="G121">
        <v>4</v>
      </c>
      <c r="H121" t="s">
        <v>16</v>
      </c>
      <c r="I121">
        <v>3</v>
      </c>
      <c r="J121" t="s">
        <v>33</v>
      </c>
      <c r="K121" t="s">
        <v>14</v>
      </c>
      <c r="L121" t="s">
        <v>16</v>
      </c>
    </row>
    <row r="122" spans="1:12" x14ac:dyDescent="0.3">
      <c r="A122">
        <v>2121</v>
      </c>
      <c r="B122">
        <v>38</v>
      </c>
      <c r="C122" t="s">
        <v>38</v>
      </c>
      <c r="D122" t="s">
        <v>17</v>
      </c>
      <c r="E122" t="s">
        <v>49</v>
      </c>
      <c r="F122">
        <v>7</v>
      </c>
      <c r="G122">
        <v>1</v>
      </c>
      <c r="H122" t="s">
        <v>16</v>
      </c>
      <c r="I122">
        <v>4</v>
      </c>
      <c r="J122" t="s">
        <v>48</v>
      </c>
      <c r="K122" t="s">
        <v>14</v>
      </c>
      <c r="L122" t="s">
        <v>16</v>
      </c>
    </row>
    <row r="123" spans="1:12" x14ac:dyDescent="0.3">
      <c r="A123">
        <v>2122</v>
      </c>
      <c r="B123">
        <v>45</v>
      </c>
      <c r="C123" t="s">
        <v>34</v>
      </c>
      <c r="D123" t="s">
        <v>13</v>
      </c>
      <c r="E123" t="s">
        <v>35</v>
      </c>
      <c r="F123">
        <v>3</v>
      </c>
      <c r="G123">
        <v>1</v>
      </c>
      <c r="H123" t="s">
        <v>14</v>
      </c>
      <c r="I123">
        <v>6</v>
      </c>
      <c r="J123" t="s">
        <v>44</v>
      </c>
      <c r="K123" t="s">
        <v>16</v>
      </c>
      <c r="L123" t="s">
        <v>14</v>
      </c>
    </row>
    <row r="124" spans="1:12" x14ac:dyDescent="0.3">
      <c r="A124">
        <v>2123</v>
      </c>
      <c r="B124">
        <v>77</v>
      </c>
      <c r="C124" t="s">
        <v>38</v>
      </c>
      <c r="D124" t="s">
        <v>15</v>
      </c>
      <c r="E124" t="s">
        <v>39</v>
      </c>
      <c r="F124">
        <v>13</v>
      </c>
      <c r="G124">
        <v>2</v>
      </c>
      <c r="H124" t="s">
        <v>14</v>
      </c>
      <c r="I124">
        <v>7</v>
      </c>
      <c r="J124" t="s">
        <v>36</v>
      </c>
      <c r="K124" t="s">
        <v>14</v>
      </c>
      <c r="L124" t="s">
        <v>14</v>
      </c>
    </row>
    <row r="125" spans="1:12" x14ac:dyDescent="0.3">
      <c r="A125">
        <v>2124</v>
      </c>
      <c r="B125">
        <v>29</v>
      </c>
      <c r="C125" t="s">
        <v>34</v>
      </c>
      <c r="D125" t="s">
        <v>13</v>
      </c>
      <c r="E125" t="s">
        <v>43</v>
      </c>
      <c r="F125">
        <v>7</v>
      </c>
      <c r="G125">
        <v>2</v>
      </c>
      <c r="H125" t="s">
        <v>16</v>
      </c>
      <c r="I125">
        <v>9</v>
      </c>
      <c r="J125" t="s">
        <v>48</v>
      </c>
      <c r="K125" t="s">
        <v>14</v>
      </c>
      <c r="L125" t="s">
        <v>16</v>
      </c>
    </row>
    <row r="126" spans="1:12" x14ac:dyDescent="0.3">
      <c r="A126">
        <v>2125</v>
      </c>
      <c r="B126">
        <v>54</v>
      </c>
      <c r="C126" t="s">
        <v>34</v>
      </c>
      <c r="D126" t="s">
        <v>18</v>
      </c>
      <c r="E126" t="s">
        <v>52</v>
      </c>
      <c r="F126">
        <v>10</v>
      </c>
      <c r="G126">
        <v>2</v>
      </c>
      <c r="H126" t="s">
        <v>14</v>
      </c>
      <c r="I126">
        <v>4</v>
      </c>
      <c r="J126" t="s">
        <v>33</v>
      </c>
      <c r="K126" t="s">
        <v>16</v>
      </c>
      <c r="L126" t="s">
        <v>14</v>
      </c>
    </row>
    <row r="127" spans="1:12" x14ac:dyDescent="0.3">
      <c r="A127">
        <v>2126</v>
      </c>
      <c r="B127">
        <v>26</v>
      </c>
      <c r="C127" t="s">
        <v>34</v>
      </c>
      <c r="D127" t="s">
        <v>19</v>
      </c>
      <c r="E127" t="s">
        <v>45</v>
      </c>
      <c r="F127">
        <v>10</v>
      </c>
      <c r="G127">
        <v>0</v>
      </c>
      <c r="H127" t="s">
        <v>14</v>
      </c>
      <c r="I127">
        <v>7</v>
      </c>
      <c r="J127" t="s">
        <v>33</v>
      </c>
      <c r="K127" t="s">
        <v>16</v>
      </c>
      <c r="L127" t="s">
        <v>16</v>
      </c>
    </row>
    <row r="128" spans="1:12" x14ac:dyDescent="0.3">
      <c r="A128">
        <v>2127</v>
      </c>
      <c r="B128">
        <v>48</v>
      </c>
      <c r="C128" t="s">
        <v>38</v>
      </c>
      <c r="D128" t="s">
        <v>13</v>
      </c>
      <c r="E128" t="s">
        <v>43</v>
      </c>
      <c r="F128">
        <v>1</v>
      </c>
      <c r="G128">
        <v>1</v>
      </c>
      <c r="H128" t="s">
        <v>16</v>
      </c>
      <c r="I128">
        <v>10</v>
      </c>
      <c r="J128" t="s">
        <v>33</v>
      </c>
      <c r="K128" t="s">
        <v>14</v>
      </c>
      <c r="L128" t="s">
        <v>16</v>
      </c>
    </row>
    <row r="129" spans="1:12" x14ac:dyDescent="0.3">
      <c r="A129">
        <v>2128</v>
      </c>
      <c r="B129">
        <v>49</v>
      </c>
      <c r="C129" t="s">
        <v>38</v>
      </c>
      <c r="D129" t="s">
        <v>13</v>
      </c>
      <c r="E129" t="s">
        <v>43</v>
      </c>
      <c r="F129">
        <v>12</v>
      </c>
      <c r="G129">
        <v>0</v>
      </c>
      <c r="H129" t="s">
        <v>16</v>
      </c>
      <c r="I129">
        <v>7</v>
      </c>
      <c r="J129" t="s">
        <v>44</v>
      </c>
      <c r="K129" t="s">
        <v>14</v>
      </c>
      <c r="L129" t="s">
        <v>16</v>
      </c>
    </row>
    <row r="130" spans="1:12" x14ac:dyDescent="0.3">
      <c r="A130">
        <v>2129</v>
      </c>
      <c r="B130">
        <v>52</v>
      </c>
      <c r="C130" t="s">
        <v>38</v>
      </c>
      <c r="D130" t="s">
        <v>13</v>
      </c>
      <c r="E130" t="s">
        <v>35</v>
      </c>
      <c r="F130">
        <v>14</v>
      </c>
      <c r="G130">
        <v>3</v>
      </c>
      <c r="H130" t="s">
        <v>16</v>
      </c>
      <c r="I130">
        <v>1</v>
      </c>
      <c r="J130" t="s">
        <v>33</v>
      </c>
      <c r="K130" t="s">
        <v>14</v>
      </c>
      <c r="L130" t="s">
        <v>16</v>
      </c>
    </row>
    <row r="131" spans="1:12" x14ac:dyDescent="0.3">
      <c r="A131">
        <v>2130</v>
      </c>
      <c r="B131">
        <v>30</v>
      </c>
      <c r="C131" t="s">
        <v>34</v>
      </c>
      <c r="D131" t="s">
        <v>15</v>
      </c>
      <c r="E131" t="s">
        <v>39</v>
      </c>
      <c r="F131">
        <v>12</v>
      </c>
      <c r="G131">
        <v>1</v>
      </c>
      <c r="H131" t="s">
        <v>16</v>
      </c>
      <c r="I131">
        <v>10</v>
      </c>
      <c r="J131" t="s">
        <v>33</v>
      </c>
      <c r="K131" t="s">
        <v>14</v>
      </c>
      <c r="L131" t="s">
        <v>16</v>
      </c>
    </row>
    <row r="132" spans="1:12" x14ac:dyDescent="0.3">
      <c r="A132">
        <v>2131</v>
      </c>
      <c r="B132">
        <v>83</v>
      </c>
      <c r="C132" t="s">
        <v>38</v>
      </c>
      <c r="D132" t="s">
        <v>15</v>
      </c>
      <c r="E132" t="s">
        <v>37</v>
      </c>
      <c r="F132">
        <v>6</v>
      </c>
      <c r="G132">
        <v>1</v>
      </c>
      <c r="H132" t="s">
        <v>16</v>
      </c>
      <c r="I132">
        <v>6</v>
      </c>
      <c r="J132" t="s">
        <v>33</v>
      </c>
      <c r="K132" t="s">
        <v>14</v>
      </c>
      <c r="L132" t="s">
        <v>16</v>
      </c>
    </row>
    <row r="133" spans="1:12" x14ac:dyDescent="0.3">
      <c r="A133">
        <v>2132</v>
      </c>
      <c r="B133">
        <v>20</v>
      </c>
      <c r="C133" t="s">
        <v>34</v>
      </c>
      <c r="D133" t="s">
        <v>13</v>
      </c>
      <c r="E133" t="s">
        <v>43</v>
      </c>
      <c r="F133">
        <v>4</v>
      </c>
      <c r="G133">
        <v>4</v>
      </c>
      <c r="H133" t="s">
        <v>16</v>
      </c>
      <c r="I133">
        <v>13</v>
      </c>
      <c r="J133" t="s">
        <v>33</v>
      </c>
      <c r="K133" t="s">
        <v>14</v>
      </c>
      <c r="L133" t="s">
        <v>16</v>
      </c>
    </row>
    <row r="134" spans="1:12" x14ac:dyDescent="0.3">
      <c r="A134">
        <v>2133</v>
      </c>
      <c r="B134">
        <v>43</v>
      </c>
      <c r="C134" t="s">
        <v>38</v>
      </c>
      <c r="D134" t="s">
        <v>18</v>
      </c>
      <c r="E134" t="s">
        <v>50</v>
      </c>
      <c r="F134">
        <v>6</v>
      </c>
      <c r="G134">
        <v>2</v>
      </c>
      <c r="H134" t="s">
        <v>14</v>
      </c>
      <c r="I134">
        <v>11</v>
      </c>
      <c r="J134" t="s">
        <v>33</v>
      </c>
      <c r="K134" t="s">
        <v>14</v>
      </c>
      <c r="L134" t="s">
        <v>14</v>
      </c>
    </row>
    <row r="135" spans="1:12" x14ac:dyDescent="0.3">
      <c r="A135">
        <v>2134</v>
      </c>
      <c r="B135">
        <v>59</v>
      </c>
      <c r="C135" t="s">
        <v>34</v>
      </c>
      <c r="D135" t="s">
        <v>19</v>
      </c>
      <c r="E135" t="s">
        <v>45</v>
      </c>
      <c r="F135">
        <v>4</v>
      </c>
      <c r="G135">
        <v>1</v>
      </c>
      <c r="H135" t="s">
        <v>16</v>
      </c>
      <c r="I135">
        <v>7</v>
      </c>
      <c r="J135" t="s">
        <v>44</v>
      </c>
      <c r="K135" t="s">
        <v>14</v>
      </c>
      <c r="L135" t="s">
        <v>16</v>
      </c>
    </row>
    <row r="136" spans="1:12" x14ac:dyDescent="0.3">
      <c r="A136">
        <v>2135</v>
      </c>
      <c r="B136">
        <v>21</v>
      </c>
      <c r="C136" t="s">
        <v>38</v>
      </c>
      <c r="D136" t="s">
        <v>18</v>
      </c>
      <c r="E136" t="s">
        <v>51</v>
      </c>
      <c r="F136">
        <v>9</v>
      </c>
      <c r="G136">
        <v>1</v>
      </c>
      <c r="H136" t="s">
        <v>14</v>
      </c>
      <c r="I136">
        <v>7</v>
      </c>
      <c r="J136" t="s">
        <v>44</v>
      </c>
      <c r="K136" t="s">
        <v>14</v>
      </c>
      <c r="L136" t="s">
        <v>16</v>
      </c>
    </row>
    <row r="137" spans="1:12" x14ac:dyDescent="0.3">
      <c r="A137">
        <v>2136</v>
      </c>
      <c r="B137">
        <v>52</v>
      </c>
      <c r="C137" t="s">
        <v>34</v>
      </c>
      <c r="D137" t="s">
        <v>15</v>
      </c>
      <c r="E137" t="s">
        <v>40</v>
      </c>
      <c r="F137">
        <v>4</v>
      </c>
      <c r="G137">
        <v>1</v>
      </c>
      <c r="H137" t="s">
        <v>14</v>
      </c>
      <c r="I137">
        <v>1</v>
      </c>
      <c r="J137" t="s">
        <v>33</v>
      </c>
      <c r="K137" t="s">
        <v>14</v>
      </c>
      <c r="L137" t="s">
        <v>16</v>
      </c>
    </row>
    <row r="138" spans="1:12" x14ac:dyDescent="0.3">
      <c r="A138">
        <v>2137</v>
      </c>
      <c r="B138">
        <v>60</v>
      </c>
      <c r="C138" t="s">
        <v>38</v>
      </c>
      <c r="D138" t="s">
        <v>13</v>
      </c>
      <c r="E138" t="s">
        <v>32</v>
      </c>
      <c r="F138">
        <v>12</v>
      </c>
      <c r="G138">
        <v>4</v>
      </c>
      <c r="H138" t="s">
        <v>16</v>
      </c>
      <c r="I138">
        <v>10</v>
      </c>
      <c r="J138" t="s">
        <v>36</v>
      </c>
      <c r="K138" t="s">
        <v>14</v>
      </c>
      <c r="L138" t="s">
        <v>16</v>
      </c>
    </row>
    <row r="139" spans="1:12" x14ac:dyDescent="0.3">
      <c r="A139">
        <v>2138</v>
      </c>
      <c r="B139">
        <v>18</v>
      </c>
      <c r="C139" t="s">
        <v>34</v>
      </c>
      <c r="D139" t="s">
        <v>13</v>
      </c>
      <c r="E139" t="s">
        <v>32</v>
      </c>
      <c r="F139">
        <v>10</v>
      </c>
      <c r="G139">
        <v>0</v>
      </c>
      <c r="H139" t="s">
        <v>16</v>
      </c>
      <c r="I139">
        <v>6</v>
      </c>
      <c r="J139" t="s">
        <v>33</v>
      </c>
      <c r="K139" t="s">
        <v>14</v>
      </c>
      <c r="L139" t="s">
        <v>16</v>
      </c>
    </row>
    <row r="140" spans="1:12" x14ac:dyDescent="0.3">
      <c r="A140">
        <v>2139</v>
      </c>
      <c r="B140">
        <v>35</v>
      </c>
      <c r="C140" t="s">
        <v>34</v>
      </c>
      <c r="D140" t="s">
        <v>17</v>
      </c>
      <c r="E140" t="s">
        <v>49</v>
      </c>
      <c r="F140">
        <v>8</v>
      </c>
      <c r="G140">
        <v>1</v>
      </c>
      <c r="H140" t="s">
        <v>16</v>
      </c>
      <c r="I140">
        <v>2</v>
      </c>
      <c r="J140" t="s">
        <v>36</v>
      </c>
      <c r="K140" t="s">
        <v>14</v>
      </c>
      <c r="L140" t="s">
        <v>16</v>
      </c>
    </row>
    <row r="141" spans="1:12" x14ac:dyDescent="0.3">
      <c r="A141">
        <v>2140</v>
      </c>
      <c r="B141">
        <v>21</v>
      </c>
      <c r="C141" t="s">
        <v>38</v>
      </c>
      <c r="D141" t="s">
        <v>19</v>
      </c>
      <c r="E141" t="s">
        <v>46</v>
      </c>
      <c r="F141">
        <v>3</v>
      </c>
      <c r="G141">
        <v>0</v>
      </c>
      <c r="H141" t="s">
        <v>16</v>
      </c>
      <c r="I141">
        <v>11</v>
      </c>
      <c r="J141" t="s">
        <v>33</v>
      </c>
      <c r="K141" t="s">
        <v>16</v>
      </c>
      <c r="L141" t="s">
        <v>16</v>
      </c>
    </row>
    <row r="142" spans="1:12" x14ac:dyDescent="0.3">
      <c r="A142">
        <v>2141</v>
      </c>
      <c r="B142">
        <v>32</v>
      </c>
      <c r="C142" t="s">
        <v>38</v>
      </c>
      <c r="D142" t="s">
        <v>19</v>
      </c>
      <c r="E142" t="s">
        <v>41</v>
      </c>
      <c r="F142">
        <v>12</v>
      </c>
      <c r="G142">
        <v>1</v>
      </c>
      <c r="H142" t="s">
        <v>16</v>
      </c>
      <c r="I142">
        <v>3</v>
      </c>
      <c r="J142" t="s">
        <v>48</v>
      </c>
      <c r="K142" t="s">
        <v>14</v>
      </c>
      <c r="L142" t="s">
        <v>16</v>
      </c>
    </row>
    <row r="143" spans="1:12" x14ac:dyDescent="0.3">
      <c r="A143">
        <v>2142</v>
      </c>
      <c r="B143">
        <v>23</v>
      </c>
      <c r="C143" t="s">
        <v>38</v>
      </c>
      <c r="D143" t="s">
        <v>15</v>
      </c>
      <c r="E143" t="s">
        <v>39</v>
      </c>
      <c r="F143">
        <v>3</v>
      </c>
      <c r="G143">
        <v>0</v>
      </c>
      <c r="H143" t="s">
        <v>14</v>
      </c>
      <c r="I143">
        <v>12</v>
      </c>
      <c r="J143" t="s">
        <v>48</v>
      </c>
      <c r="K143" t="s">
        <v>14</v>
      </c>
      <c r="L143" t="s">
        <v>16</v>
      </c>
    </row>
    <row r="144" spans="1:12" x14ac:dyDescent="0.3">
      <c r="A144">
        <v>2143</v>
      </c>
      <c r="B144">
        <v>27</v>
      </c>
      <c r="C144" t="s">
        <v>34</v>
      </c>
      <c r="D144" t="s">
        <v>17</v>
      </c>
      <c r="E144" t="s">
        <v>53</v>
      </c>
      <c r="F144">
        <v>8</v>
      </c>
      <c r="G144">
        <v>1</v>
      </c>
      <c r="H144" t="s">
        <v>16</v>
      </c>
      <c r="I144">
        <v>6</v>
      </c>
      <c r="J144" t="s">
        <v>48</v>
      </c>
      <c r="K144" t="s">
        <v>14</v>
      </c>
      <c r="L144" t="s">
        <v>16</v>
      </c>
    </row>
    <row r="145" spans="1:12" x14ac:dyDescent="0.3">
      <c r="A145">
        <v>2144</v>
      </c>
      <c r="B145">
        <v>21</v>
      </c>
      <c r="C145" t="s">
        <v>34</v>
      </c>
      <c r="D145" t="s">
        <v>15</v>
      </c>
      <c r="E145" t="s">
        <v>40</v>
      </c>
      <c r="F145">
        <v>7</v>
      </c>
      <c r="G145">
        <v>1</v>
      </c>
      <c r="H145" t="s">
        <v>16</v>
      </c>
      <c r="I145">
        <v>3</v>
      </c>
      <c r="J145" t="s">
        <v>48</v>
      </c>
      <c r="K145" t="s">
        <v>14</v>
      </c>
      <c r="L145" t="s">
        <v>16</v>
      </c>
    </row>
    <row r="146" spans="1:12" x14ac:dyDescent="0.3">
      <c r="A146">
        <v>2145</v>
      </c>
      <c r="B146">
        <v>29</v>
      </c>
      <c r="C146" t="s">
        <v>38</v>
      </c>
      <c r="D146" t="s">
        <v>15</v>
      </c>
      <c r="E146" t="s">
        <v>40</v>
      </c>
      <c r="F146">
        <v>12</v>
      </c>
      <c r="G146">
        <v>1</v>
      </c>
      <c r="H146" t="s">
        <v>14</v>
      </c>
      <c r="I146">
        <v>12</v>
      </c>
      <c r="J146" t="s">
        <v>44</v>
      </c>
      <c r="K146" t="s">
        <v>14</v>
      </c>
      <c r="L146" t="s">
        <v>14</v>
      </c>
    </row>
    <row r="147" spans="1:12" x14ac:dyDescent="0.3">
      <c r="A147">
        <v>2146</v>
      </c>
      <c r="B147">
        <v>63</v>
      </c>
      <c r="C147" t="s">
        <v>38</v>
      </c>
      <c r="D147" t="s">
        <v>18</v>
      </c>
      <c r="E147" t="s">
        <v>50</v>
      </c>
      <c r="F147">
        <v>14</v>
      </c>
      <c r="G147">
        <v>4</v>
      </c>
      <c r="H147" t="s">
        <v>16</v>
      </c>
      <c r="I147">
        <v>12</v>
      </c>
      <c r="J147" t="s">
        <v>33</v>
      </c>
      <c r="K147" t="s">
        <v>14</v>
      </c>
      <c r="L147" t="s">
        <v>16</v>
      </c>
    </row>
    <row r="148" spans="1:12" x14ac:dyDescent="0.3">
      <c r="A148">
        <v>2147</v>
      </c>
      <c r="B148">
        <v>53</v>
      </c>
      <c r="C148" t="s">
        <v>38</v>
      </c>
      <c r="D148" t="s">
        <v>19</v>
      </c>
      <c r="E148" t="s">
        <v>45</v>
      </c>
      <c r="F148">
        <v>9</v>
      </c>
      <c r="G148">
        <v>1</v>
      </c>
      <c r="H148" t="s">
        <v>16</v>
      </c>
      <c r="I148">
        <v>7</v>
      </c>
      <c r="J148" t="s">
        <v>33</v>
      </c>
      <c r="K148" t="s">
        <v>14</v>
      </c>
      <c r="L148" t="s">
        <v>16</v>
      </c>
    </row>
    <row r="149" spans="1:12" x14ac:dyDescent="0.3">
      <c r="A149">
        <v>2148</v>
      </c>
      <c r="B149">
        <v>28</v>
      </c>
      <c r="C149" t="s">
        <v>38</v>
      </c>
      <c r="D149" t="s">
        <v>15</v>
      </c>
      <c r="E149" t="s">
        <v>40</v>
      </c>
      <c r="F149">
        <v>8</v>
      </c>
      <c r="G149">
        <v>1</v>
      </c>
      <c r="H149" t="s">
        <v>16</v>
      </c>
      <c r="I149">
        <v>2</v>
      </c>
      <c r="J149" t="s">
        <v>44</v>
      </c>
      <c r="K149" t="s">
        <v>14</v>
      </c>
      <c r="L149" t="s">
        <v>16</v>
      </c>
    </row>
    <row r="150" spans="1:12" x14ac:dyDescent="0.3">
      <c r="A150">
        <v>2149</v>
      </c>
      <c r="B150">
        <v>49</v>
      </c>
      <c r="C150" t="s">
        <v>34</v>
      </c>
      <c r="D150" t="s">
        <v>19</v>
      </c>
      <c r="E150" t="s">
        <v>41</v>
      </c>
      <c r="F150">
        <v>3</v>
      </c>
      <c r="G150">
        <v>1</v>
      </c>
      <c r="H150" t="s">
        <v>16</v>
      </c>
      <c r="I150">
        <v>3</v>
      </c>
      <c r="J150" t="s">
        <v>33</v>
      </c>
      <c r="K150" t="s">
        <v>14</v>
      </c>
      <c r="L150" t="s">
        <v>16</v>
      </c>
    </row>
    <row r="151" spans="1:12" x14ac:dyDescent="0.3">
      <c r="A151">
        <v>2150</v>
      </c>
      <c r="B151">
        <v>19</v>
      </c>
      <c r="C151" t="s">
        <v>38</v>
      </c>
      <c r="D151" t="s">
        <v>13</v>
      </c>
      <c r="E151" t="s">
        <v>32</v>
      </c>
      <c r="F151">
        <v>12</v>
      </c>
      <c r="G151">
        <v>1</v>
      </c>
      <c r="H151" t="s">
        <v>16</v>
      </c>
      <c r="I151">
        <v>10</v>
      </c>
      <c r="J151" t="s">
        <v>36</v>
      </c>
      <c r="K151" t="s">
        <v>14</v>
      </c>
      <c r="L151" t="s">
        <v>16</v>
      </c>
    </row>
    <row r="152" spans="1:12" x14ac:dyDescent="0.3">
      <c r="A152">
        <v>2151</v>
      </c>
      <c r="B152">
        <v>61</v>
      </c>
      <c r="C152" t="s">
        <v>34</v>
      </c>
      <c r="D152" t="s">
        <v>15</v>
      </c>
      <c r="E152" t="s">
        <v>39</v>
      </c>
      <c r="F152">
        <v>11</v>
      </c>
      <c r="G152">
        <v>1</v>
      </c>
      <c r="H152" t="s">
        <v>16</v>
      </c>
      <c r="I152">
        <v>3</v>
      </c>
      <c r="J152" t="s">
        <v>33</v>
      </c>
      <c r="K152" t="s">
        <v>14</v>
      </c>
      <c r="L152" t="s">
        <v>16</v>
      </c>
    </row>
    <row r="153" spans="1:12" x14ac:dyDescent="0.3">
      <c r="A153">
        <v>2152</v>
      </c>
      <c r="B153">
        <v>48</v>
      </c>
      <c r="C153" t="s">
        <v>34</v>
      </c>
      <c r="D153" t="s">
        <v>13</v>
      </c>
      <c r="E153" t="s">
        <v>32</v>
      </c>
      <c r="F153">
        <v>2</v>
      </c>
      <c r="G153">
        <v>0</v>
      </c>
      <c r="H153" t="s">
        <v>16</v>
      </c>
      <c r="I153">
        <v>7</v>
      </c>
      <c r="J153" t="s">
        <v>48</v>
      </c>
      <c r="K153" t="s">
        <v>14</v>
      </c>
      <c r="L153" t="s">
        <v>16</v>
      </c>
    </row>
    <row r="154" spans="1:12" x14ac:dyDescent="0.3">
      <c r="A154">
        <v>2153</v>
      </c>
      <c r="B154">
        <v>82</v>
      </c>
      <c r="C154" t="s">
        <v>38</v>
      </c>
      <c r="D154" t="s">
        <v>17</v>
      </c>
      <c r="E154" t="s">
        <v>42</v>
      </c>
      <c r="F154">
        <v>11</v>
      </c>
      <c r="G154">
        <v>1</v>
      </c>
      <c r="H154" t="s">
        <v>14</v>
      </c>
      <c r="I154">
        <v>9</v>
      </c>
      <c r="J154" t="s">
        <v>33</v>
      </c>
      <c r="K154" t="s">
        <v>16</v>
      </c>
      <c r="L154" t="s">
        <v>14</v>
      </c>
    </row>
    <row r="155" spans="1:12" x14ac:dyDescent="0.3">
      <c r="A155">
        <v>2154</v>
      </c>
      <c r="B155">
        <v>84</v>
      </c>
      <c r="C155" t="s">
        <v>38</v>
      </c>
      <c r="D155" t="s">
        <v>17</v>
      </c>
      <c r="E155" t="s">
        <v>42</v>
      </c>
      <c r="F155">
        <v>13</v>
      </c>
      <c r="G155">
        <v>0</v>
      </c>
      <c r="H155" t="s">
        <v>14</v>
      </c>
      <c r="I155">
        <v>3</v>
      </c>
      <c r="J155" t="s">
        <v>36</v>
      </c>
      <c r="K155" t="s">
        <v>14</v>
      </c>
      <c r="L155" t="s">
        <v>16</v>
      </c>
    </row>
    <row r="156" spans="1:12" x14ac:dyDescent="0.3">
      <c r="A156">
        <v>2155</v>
      </c>
      <c r="B156">
        <v>69</v>
      </c>
      <c r="C156" t="s">
        <v>38</v>
      </c>
      <c r="D156" t="s">
        <v>15</v>
      </c>
      <c r="E156" t="s">
        <v>39</v>
      </c>
      <c r="F156">
        <v>8</v>
      </c>
      <c r="G156">
        <v>1</v>
      </c>
      <c r="H156" t="s">
        <v>16</v>
      </c>
      <c r="I156">
        <v>2</v>
      </c>
      <c r="J156" t="s">
        <v>33</v>
      </c>
      <c r="K156" t="s">
        <v>14</v>
      </c>
      <c r="L156" t="s">
        <v>16</v>
      </c>
    </row>
    <row r="157" spans="1:12" x14ac:dyDescent="0.3">
      <c r="A157">
        <v>2156</v>
      </c>
      <c r="B157">
        <v>89</v>
      </c>
      <c r="C157" t="s">
        <v>34</v>
      </c>
      <c r="D157" t="s">
        <v>18</v>
      </c>
      <c r="E157" t="s">
        <v>51</v>
      </c>
      <c r="F157">
        <v>2</v>
      </c>
      <c r="G157">
        <v>1</v>
      </c>
      <c r="H157" t="s">
        <v>14</v>
      </c>
      <c r="I157">
        <v>10</v>
      </c>
      <c r="J157" t="s">
        <v>33</v>
      </c>
      <c r="K157" t="s">
        <v>14</v>
      </c>
      <c r="L157" t="s">
        <v>16</v>
      </c>
    </row>
    <row r="158" spans="1:12" x14ac:dyDescent="0.3">
      <c r="A158">
        <v>2157</v>
      </c>
      <c r="B158">
        <v>41</v>
      </c>
      <c r="C158" t="s">
        <v>34</v>
      </c>
      <c r="D158" t="s">
        <v>17</v>
      </c>
      <c r="E158" t="s">
        <v>49</v>
      </c>
      <c r="F158">
        <v>14</v>
      </c>
      <c r="G158">
        <v>0</v>
      </c>
      <c r="H158" t="s">
        <v>14</v>
      </c>
      <c r="I158">
        <v>7</v>
      </c>
      <c r="J158" t="s">
        <v>48</v>
      </c>
      <c r="K158" t="s">
        <v>14</v>
      </c>
      <c r="L158" t="s">
        <v>16</v>
      </c>
    </row>
    <row r="159" spans="1:12" x14ac:dyDescent="0.3">
      <c r="A159">
        <v>2158</v>
      </c>
      <c r="B159">
        <v>68</v>
      </c>
      <c r="C159" t="s">
        <v>34</v>
      </c>
      <c r="D159" t="s">
        <v>19</v>
      </c>
      <c r="E159" t="s">
        <v>41</v>
      </c>
      <c r="F159">
        <v>10</v>
      </c>
      <c r="G159">
        <v>0</v>
      </c>
      <c r="H159" t="s">
        <v>16</v>
      </c>
      <c r="I159">
        <v>5</v>
      </c>
      <c r="J159" t="s">
        <v>36</v>
      </c>
      <c r="K159" t="s">
        <v>16</v>
      </c>
      <c r="L159" t="s">
        <v>16</v>
      </c>
    </row>
    <row r="160" spans="1:12" x14ac:dyDescent="0.3">
      <c r="A160">
        <v>2159</v>
      </c>
      <c r="B160">
        <v>66</v>
      </c>
      <c r="C160" t="s">
        <v>38</v>
      </c>
      <c r="D160" t="s">
        <v>15</v>
      </c>
      <c r="E160" t="s">
        <v>39</v>
      </c>
      <c r="F160">
        <v>2</v>
      </c>
      <c r="G160">
        <v>0</v>
      </c>
      <c r="H160" t="s">
        <v>14</v>
      </c>
      <c r="I160">
        <v>1</v>
      </c>
      <c r="J160" t="s">
        <v>48</v>
      </c>
      <c r="K160" t="s">
        <v>16</v>
      </c>
      <c r="L160" t="s">
        <v>14</v>
      </c>
    </row>
    <row r="161" spans="1:12" x14ac:dyDescent="0.3">
      <c r="A161">
        <v>2160</v>
      </c>
      <c r="B161">
        <v>71</v>
      </c>
      <c r="C161" t="s">
        <v>34</v>
      </c>
      <c r="D161" t="s">
        <v>15</v>
      </c>
      <c r="E161" t="s">
        <v>40</v>
      </c>
      <c r="F161">
        <v>5</v>
      </c>
      <c r="G161">
        <v>1</v>
      </c>
      <c r="H161" t="s">
        <v>16</v>
      </c>
      <c r="I161">
        <v>4</v>
      </c>
      <c r="J161" t="s">
        <v>33</v>
      </c>
      <c r="K161" t="s">
        <v>14</v>
      </c>
      <c r="L161" t="s">
        <v>16</v>
      </c>
    </row>
    <row r="162" spans="1:12" x14ac:dyDescent="0.3">
      <c r="A162">
        <v>2161</v>
      </c>
      <c r="B162">
        <v>19</v>
      </c>
      <c r="C162" t="s">
        <v>38</v>
      </c>
      <c r="D162" t="s">
        <v>17</v>
      </c>
      <c r="E162" t="s">
        <v>49</v>
      </c>
      <c r="F162">
        <v>12</v>
      </c>
      <c r="G162">
        <v>1</v>
      </c>
      <c r="H162" t="s">
        <v>16</v>
      </c>
      <c r="I162">
        <v>8</v>
      </c>
      <c r="J162" t="s">
        <v>33</v>
      </c>
      <c r="K162" t="s">
        <v>14</v>
      </c>
      <c r="L162" t="s">
        <v>16</v>
      </c>
    </row>
    <row r="163" spans="1:12" x14ac:dyDescent="0.3">
      <c r="A163">
        <v>2162</v>
      </c>
      <c r="B163">
        <v>86</v>
      </c>
      <c r="C163" t="s">
        <v>34</v>
      </c>
      <c r="D163" t="s">
        <v>19</v>
      </c>
      <c r="E163" t="s">
        <v>41</v>
      </c>
      <c r="F163">
        <v>11</v>
      </c>
      <c r="G163">
        <v>1</v>
      </c>
      <c r="H163" t="s">
        <v>16</v>
      </c>
      <c r="I163">
        <v>10</v>
      </c>
      <c r="J163" t="s">
        <v>33</v>
      </c>
      <c r="K163" t="s">
        <v>14</v>
      </c>
      <c r="L163" t="s">
        <v>16</v>
      </c>
    </row>
    <row r="164" spans="1:12" x14ac:dyDescent="0.3">
      <c r="A164">
        <v>2163</v>
      </c>
      <c r="B164">
        <v>66</v>
      </c>
      <c r="C164" t="s">
        <v>38</v>
      </c>
      <c r="D164" t="s">
        <v>15</v>
      </c>
      <c r="E164" t="s">
        <v>39</v>
      </c>
      <c r="F164">
        <v>3</v>
      </c>
      <c r="G164">
        <v>0</v>
      </c>
      <c r="H164" t="s">
        <v>16</v>
      </c>
      <c r="I164">
        <v>12</v>
      </c>
      <c r="J164" t="s">
        <v>36</v>
      </c>
      <c r="K164" t="s">
        <v>14</v>
      </c>
      <c r="L164" t="s">
        <v>16</v>
      </c>
    </row>
    <row r="165" spans="1:12" x14ac:dyDescent="0.3">
      <c r="A165">
        <v>2164</v>
      </c>
      <c r="B165">
        <v>45</v>
      </c>
      <c r="C165" t="s">
        <v>34</v>
      </c>
      <c r="D165" t="s">
        <v>15</v>
      </c>
      <c r="E165" t="s">
        <v>37</v>
      </c>
      <c r="F165">
        <v>6</v>
      </c>
      <c r="G165">
        <v>1</v>
      </c>
      <c r="H165" t="s">
        <v>16</v>
      </c>
      <c r="I165">
        <v>12</v>
      </c>
      <c r="J165" t="s">
        <v>36</v>
      </c>
      <c r="K165" t="s">
        <v>14</v>
      </c>
      <c r="L165" t="s">
        <v>16</v>
      </c>
    </row>
    <row r="166" spans="1:12" x14ac:dyDescent="0.3">
      <c r="A166">
        <v>2165</v>
      </c>
      <c r="B166">
        <v>81</v>
      </c>
      <c r="C166" t="s">
        <v>34</v>
      </c>
      <c r="D166" t="s">
        <v>18</v>
      </c>
      <c r="E166" t="s">
        <v>50</v>
      </c>
      <c r="F166">
        <v>8</v>
      </c>
      <c r="G166">
        <v>1</v>
      </c>
      <c r="H166" t="s">
        <v>16</v>
      </c>
      <c r="I166">
        <v>6</v>
      </c>
      <c r="J166" t="s">
        <v>48</v>
      </c>
      <c r="K166" t="s">
        <v>16</v>
      </c>
      <c r="L166" t="s">
        <v>16</v>
      </c>
    </row>
    <row r="167" spans="1:12" x14ac:dyDescent="0.3">
      <c r="A167">
        <v>2166</v>
      </c>
      <c r="B167">
        <v>82</v>
      </c>
      <c r="C167" t="s">
        <v>34</v>
      </c>
      <c r="D167" t="s">
        <v>15</v>
      </c>
      <c r="E167" t="s">
        <v>40</v>
      </c>
      <c r="F167">
        <v>10</v>
      </c>
      <c r="G167">
        <v>1</v>
      </c>
      <c r="H167" t="s">
        <v>14</v>
      </c>
      <c r="I167">
        <v>7</v>
      </c>
      <c r="J167" t="s">
        <v>33</v>
      </c>
      <c r="K167" t="s">
        <v>14</v>
      </c>
      <c r="L167" t="s">
        <v>16</v>
      </c>
    </row>
    <row r="168" spans="1:12" x14ac:dyDescent="0.3">
      <c r="A168">
        <v>2167</v>
      </c>
      <c r="B168">
        <v>23</v>
      </c>
      <c r="C168" t="s">
        <v>38</v>
      </c>
      <c r="D168" t="s">
        <v>18</v>
      </c>
      <c r="E168" t="s">
        <v>51</v>
      </c>
      <c r="F168">
        <v>13</v>
      </c>
      <c r="G168">
        <v>0</v>
      </c>
      <c r="H168" t="s">
        <v>16</v>
      </c>
      <c r="I168">
        <v>12</v>
      </c>
      <c r="J168" t="s">
        <v>33</v>
      </c>
      <c r="K168" t="s">
        <v>14</v>
      </c>
      <c r="L168" t="s">
        <v>16</v>
      </c>
    </row>
    <row r="169" spans="1:12" x14ac:dyDescent="0.3">
      <c r="A169">
        <v>2168</v>
      </c>
      <c r="B169">
        <v>58</v>
      </c>
      <c r="C169" t="s">
        <v>38</v>
      </c>
      <c r="D169" t="s">
        <v>15</v>
      </c>
      <c r="E169" t="s">
        <v>37</v>
      </c>
      <c r="F169">
        <v>5</v>
      </c>
      <c r="G169">
        <v>1</v>
      </c>
      <c r="H169" t="s">
        <v>14</v>
      </c>
      <c r="I169">
        <v>13</v>
      </c>
      <c r="J169" t="s">
        <v>36</v>
      </c>
      <c r="K169" t="s">
        <v>16</v>
      </c>
      <c r="L169" t="s">
        <v>14</v>
      </c>
    </row>
    <row r="170" spans="1:12" x14ac:dyDescent="0.3">
      <c r="A170">
        <v>2169</v>
      </c>
      <c r="B170">
        <v>47</v>
      </c>
      <c r="C170" t="s">
        <v>34</v>
      </c>
      <c r="D170" t="s">
        <v>19</v>
      </c>
      <c r="E170" t="s">
        <v>46</v>
      </c>
      <c r="F170">
        <v>4</v>
      </c>
      <c r="G170">
        <v>0</v>
      </c>
      <c r="H170" t="s">
        <v>16</v>
      </c>
      <c r="I170">
        <v>5</v>
      </c>
      <c r="J170" t="s">
        <v>33</v>
      </c>
      <c r="K170" t="s">
        <v>14</v>
      </c>
      <c r="L170" t="s">
        <v>16</v>
      </c>
    </row>
    <row r="171" spans="1:12" x14ac:dyDescent="0.3">
      <c r="A171">
        <v>2170</v>
      </c>
      <c r="B171">
        <v>35</v>
      </c>
      <c r="C171" t="s">
        <v>38</v>
      </c>
      <c r="D171" t="s">
        <v>15</v>
      </c>
      <c r="E171" t="s">
        <v>37</v>
      </c>
      <c r="F171">
        <v>10</v>
      </c>
      <c r="G171">
        <v>1</v>
      </c>
      <c r="H171" t="s">
        <v>16</v>
      </c>
      <c r="I171">
        <v>8</v>
      </c>
      <c r="J171" t="s">
        <v>44</v>
      </c>
      <c r="K171" t="s">
        <v>16</v>
      </c>
      <c r="L171" t="s">
        <v>16</v>
      </c>
    </row>
    <row r="172" spans="1:12" x14ac:dyDescent="0.3">
      <c r="A172">
        <v>2171</v>
      </c>
      <c r="B172">
        <v>24</v>
      </c>
      <c r="C172" t="s">
        <v>38</v>
      </c>
      <c r="D172" t="s">
        <v>17</v>
      </c>
      <c r="E172" t="s">
        <v>42</v>
      </c>
      <c r="F172">
        <v>1</v>
      </c>
      <c r="G172">
        <v>1</v>
      </c>
      <c r="H172" t="s">
        <v>16</v>
      </c>
      <c r="I172">
        <v>6</v>
      </c>
      <c r="J172" t="s">
        <v>44</v>
      </c>
      <c r="K172" t="s">
        <v>14</v>
      </c>
      <c r="L172" t="s">
        <v>16</v>
      </c>
    </row>
    <row r="173" spans="1:12" x14ac:dyDescent="0.3">
      <c r="A173">
        <v>2172</v>
      </c>
      <c r="B173">
        <v>42</v>
      </c>
      <c r="C173" t="s">
        <v>38</v>
      </c>
      <c r="D173" t="s">
        <v>13</v>
      </c>
      <c r="E173" t="s">
        <v>35</v>
      </c>
      <c r="F173">
        <v>13</v>
      </c>
      <c r="G173">
        <v>3</v>
      </c>
      <c r="H173" t="s">
        <v>14</v>
      </c>
      <c r="I173">
        <v>12</v>
      </c>
      <c r="J173" t="s">
        <v>33</v>
      </c>
      <c r="K173" t="s">
        <v>14</v>
      </c>
      <c r="L173" t="s">
        <v>14</v>
      </c>
    </row>
    <row r="174" spans="1:12" x14ac:dyDescent="0.3">
      <c r="A174">
        <v>2173</v>
      </c>
      <c r="B174">
        <v>89</v>
      </c>
      <c r="C174" t="s">
        <v>38</v>
      </c>
      <c r="D174" t="s">
        <v>17</v>
      </c>
      <c r="E174" t="s">
        <v>53</v>
      </c>
      <c r="F174">
        <v>2</v>
      </c>
      <c r="G174">
        <v>2</v>
      </c>
      <c r="H174" t="s">
        <v>16</v>
      </c>
      <c r="I174">
        <v>7</v>
      </c>
      <c r="J174" t="s">
        <v>48</v>
      </c>
      <c r="K174" t="s">
        <v>16</v>
      </c>
      <c r="L174" t="s">
        <v>16</v>
      </c>
    </row>
    <row r="175" spans="1:12" x14ac:dyDescent="0.3">
      <c r="A175">
        <v>2174</v>
      </c>
      <c r="B175">
        <v>76</v>
      </c>
      <c r="C175" t="s">
        <v>34</v>
      </c>
      <c r="D175" t="s">
        <v>13</v>
      </c>
      <c r="E175" t="s">
        <v>35</v>
      </c>
      <c r="F175">
        <v>13</v>
      </c>
      <c r="G175">
        <v>1</v>
      </c>
      <c r="H175" t="s">
        <v>16</v>
      </c>
      <c r="I175">
        <v>9</v>
      </c>
      <c r="J175" t="s">
        <v>33</v>
      </c>
      <c r="K175" t="s">
        <v>16</v>
      </c>
      <c r="L175" t="s">
        <v>14</v>
      </c>
    </row>
    <row r="176" spans="1:12" x14ac:dyDescent="0.3">
      <c r="A176">
        <v>2175</v>
      </c>
      <c r="B176">
        <v>83</v>
      </c>
      <c r="C176" t="s">
        <v>38</v>
      </c>
      <c r="D176" t="s">
        <v>13</v>
      </c>
      <c r="E176" t="s">
        <v>43</v>
      </c>
      <c r="F176">
        <v>11</v>
      </c>
      <c r="G176">
        <v>0</v>
      </c>
      <c r="H176" t="s">
        <v>14</v>
      </c>
      <c r="I176">
        <v>3</v>
      </c>
      <c r="J176" t="s">
        <v>33</v>
      </c>
      <c r="K176" t="s">
        <v>14</v>
      </c>
      <c r="L176" t="s">
        <v>16</v>
      </c>
    </row>
    <row r="177" spans="1:12" x14ac:dyDescent="0.3">
      <c r="A177">
        <v>2176</v>
      </c>
      <c r="B177">
        <v>23</v>
      </c>
      <c r="C177" t="s">
        <v>38</v>
      </c>
      <c r="D177" t="s">
        <v>19</v>
      </c>
      <c r="E177" t="s">
        <v>45</v>
      </c>
      <c r="F177">
        <v>5</v>
      </c>
      <c r="G177">
        <v>6</v>
      </c>
      <c r="H177" t="s">
        <v>14</v>
      </c>
      <c r="I177">
        <v>12</v>
      </c>
      <c r="J177" t="s">
        <v>33</v>
      </c>
      <c r="K177" t="s">
        <v>14</v>
      </c>
      <c r="L177" t="s">
        <v>14</v>
      </c>
    </row>
    <row r="178" spans="1:12" x14ac:dyDescent="0.3">
      <c r="A178">
        <v>2177</v>
      </c>
      <c r="B178">
        <v>37</v>
      </c>
      <c r="C178" t="s">
        <v>34</v>
      </c>
      <c r="D178" t="s">
        <v>13</v>
      </c>
      <c r="E178" t="s">
        <v>35</v>
      </c>
      <c r="F178">
        <v>10</v>
      </c>
      <c r="G178">
        <v>2</v>
      </c>
      <c r="H178" t="s">
        <v>16</v>
      </c>
      <c r="I178">
        <v>3</v>
      </c>
      <c r="J178" t="s">
        <v>33</v>
      </c>
      <c r="K178" t="s">
        <v>14</v>
      </c>
      <c r="L178" t="s">
        <v>16</v>
      </c>
    </row>
    <row r="179" spans="1:12" x14ac:dyDescent="0.3">
      <c r="A179">
        <v>2178</v>
      </c>
      <c r="B179">
        <v>83</v>
      </c>
      <c r="C179" t="s">
        <v>38</v>
      </c>
      <c r="D179" t="s">
        <v>18</v>
      </c>
      <c r="E179" t="s">
        <v>50</v>
      </c>
      <c r="F179">
        <v>5</v>
      </c>
      <c r="G179">
        <v>0</v>
      </c>
      <c r="H179" t="s">
        <v>14</v>
      </c>
      <c r="I179">
        <v>8</v>
      </c>
      <c r="J179" t="s">
        <v>33</v>
      </c>
      <c r="K179" t="s">
        <v>14</v>
      </c>
      <c r="L179" t="s">
        <v>16</v>
      </c>
    </row>
    <row r="180" spans="1:12" x14ac:dyDescent="0.3">
      <c r="A180">
        <v>2179</v>
      </c>
      <c r="B180">
        <v>36</v>
      </c>
      <c r="C180" t="s">
        <v>38</v>
      </c>
      <c r="D180" t="s">
        <v>19</v>
      </c>
      <c r="E180" t="s">
        <v>45</v>
      </c>
      <c r="F180">
        <v>11</v>
      </c>
      <c r="G180">
        <v>0</v>
      </c>
      <c r="H180" t="s">
        <v>16</v>
      </c>
      <c r="I180">
        <v>1</v>
      </c>
      <c r="J180" t="s">
        <v>44</v>
      </c>
      <c r="K180" t="s">
        <v>14</v>
      </c>
      <c r="L180" t="s">
        <v>16</v>
      </c>
    </row>
    <row r="181" spans="1:12" x14ac:dyDescent="0.3">
      <c r="A181">
        <v>2180</v>
      </c>
      <c r="B181">
        <v>62</v>
      </c>
      <c r="C181" t="s">
        <v>34</v>
      </c>
      <c r="D181" t="s">
        <v>15</v>
      </c>
      <c r="E181" t="s">
        <v>39</v>
      </c>
      <c r="F181">
        <v>11</v>
      </c>
      <c r="G181">
        <v>1</v>
      </c>
      <c r="H181" t="s">
        <v>14</v>
      </c>
      <c r="I181">
        <v>6</v>
      </c>
      <c r="J181" t="s">
        <v>44</v>
      </c>
      <c r="K181" t="s">
        <v>16</v>
      </c>
      <c r="L181" t="s">
        <v>14</v>
      </c>
    </row>
    <row r="182" spans="1:12" x14ac:dyDescent="0.3">
      <c r="A182">
        <v>2181</v>
      </c>
      <c r="B182">
        <v>39</v>
      </c>
      <c r="C182" t="s">
        <v>34</v>
      </c>
      <c r="D182" t="s">
        <v>15</v>
      </c>
      <c r="E182" t="s">
        <v>39</v>
      </c>
      <c r="F182">
        <v>1</v>
      </c>
      <c r="G182">
        <v>3</v>
      </c>
      <c r="H182" t="s">
        <v>14</v>
      </c>
      <c r="I182">
        <v>13</v>
      </c>
      <c r="J182" t="s">
        <v>48</v>
      </c>
      <c r="K182" t="s">
        <v>16</v>
      </c>
      <c r="L182" t="s">
        <v>14</v>
      </c>
    </row>
    <row r="183" spans="1:12" x14ac:dyDescent="0.3">
      <c r="A183">
        <v>2182</v>
      </c>
      <c r="B183">
        <v>57</v>
      </c>
      <c r="C183" t="s">
        <v>38</v>
      </c>
      <c r="D183" t="s">
        <v>13</v>
      </c>
      <c r="E183" t="s">
        <v>43</v>
      </c>
      <c r="F183">
        <v>9</v>
      </c>
      <c r="G183">
        <v>2</v>
      </c>
      <c r="H183" t="s">
        <v>16</v>
      </c>
      <c r="I183">
        <v>5</v>
      </c>
      <c r="J183" t="s">
        <v>48</v>
      </c>
      <c r="K183" t="s">
        <v>14</v>
      </c>
      <c r="L183" t="s">
        <v>16</v>
      </c>
    </row>
    <row r="184" spans="1:12" x14ac:dyDescent="0.3">
      <c r="A184">
        <v>2183</v>
      </c>
      <c r="B184">
        <v>88</v>
      </c>
      <c r="C184" t="s">
        <v>34</v>
      </c>
      <c r="D184" t="s">
        <v>19</v>
      </c>
      <c r="E184" t="s">
        <v>46</v>
      </c>
      <c r="F184">
        <v>6</v>
      </c>
      <c r="G184">
        <v>0</v>
      </c>
      <c r="H184" t="s">
        <v>16</v>
      </c>
      <c r="I184">
        <v>4</v>
      </c>
      <c r="J184" t="s">
        <v>33</v>
      </c>
      <c r="K184" t="s">
        <v>14</v>
      </c>
      <c r="L184" t="s">
        <v>16</v>
      </c>
    </row>
    <row r="185" spans="1:12" x14ac:dyDescent="0.3">
      <c r="A185">
        <v>2184</v>
      </c>
      <c r="B185">
        <v>45</v>
      </c>
      <c r="C185" t="s">
        <v>38</v>
      </c>
      <c r="D185" t="s">
        <v>15</v>
      </c>
      <c r="E185" t="s">
        <v>37</v>
      </c>
      <c r="F185">
        <v>14</v>
      </c>
      <c r="G185">
        <v>3</v>
      </c>
      <c r="H185" t="s">
        <v>16</v>
      </c>
      <c r="I185">
        <v>13</v>
      </c>
      <c r="J185" t="s">
        <v>33</v>
      </c>
      <c r="K185" t="s">
        <v>14</v>
      </c>
      <c r="L185" t="s">
        <v>14</v>
      </c>
    </row>
    <row r="186" spans="1:12" x14ac:dyDescent="0.3">
      <c r="A186">
        <v>2185</v>
      </c>
      <c r="B186">
        <v>49</v>
      </c>
      <c r="C186" t="s">
        <v>34</v>
      </c>
      <c r="D186" t="s">
        <v>15</v>
      </c>
      <c r="E186" t="s">
        <v>40</v>
      </c>
      <c r="F186">
        <v>6</v>
      </c>
      <c r="G186">
        <v>0</v>
      </c>
      <c r="H186" t="s">
        <v>16</v>
      </c>
      <c r="I186">
        <v>10</v>
      </c>
      <c r="J186" t="s">
        <v>33</v>
      </c>
      <c r="K186" t="s">
        <v>14</v>
      </c>
      <c r="L186" t="s">
        <v>16</v>
      </c>
    </row>
    <row r="187" spans="1:12" x14ac:dyDescent="0.3">
      <c r="A187">
        <v>2186</v>
      </c>
      <c r="B187">
        <v>81</v>
      </c>
      <c r="C187" t="s">
        <v>38</v>
      </c>
      <c r="D187" t="s">
        <v>17</v>
      </c>
      <c r="E187" t="s">
        <v>53</v>
      </c>
      <c r="F187">
        <v>1</v>
      </c>
      <c r="G187">
        <v>2</v>
      </c>
      <c r="H187" t="s">
        <v>16</v>
      </c>
      <c r="I187">
        <v>4</v>
      </c>
      <c r="J187" t="s">
        <v>33</v>
      </c>
      <c r="K187" t="s">
        <v>14</v>
      </c>
      <c r="L187" t="s">
        <v>16</v>
      </c>
    </row>
    <row r="188" spans="1:12" x14ac:dyDescent="0.3">
      <c r="A188">
        <v>2187</v>
      </c>
      <c r="B188">
        <v>83</v>
      </c>
      <c r="C188" t="s">
        <v>38</v>
      </c>
      <c r="D188" t="s">
        <v>19</v>
      </c>
      <c r="E188" t="s">
        <v>45</v>
      </c>
      <c r="F188">
        <v>11</v>
      </c>
      <c r="G188">
        <v>0</v>
      </c>
      <c r="H188" t="s">
        <v>16</v>
      </c>
      <c r="I188">
        <v>4</v>
      </c>
      <c r="J188" t="s">
        <v>33</v>
      </c>
      <c r="K188" t="s">
        <v>14</v>
      </c>
      <c r="L188" t="s">
        <v>16</v>
      </c>
    </row>
    <row r="189" spans="1:12" x14ac:dyDescent="0.3">
      <c r="A189">
        <v>2188</v>
      </c>
      <c r="B189">
        <v>25</v>
      </c>
      <c r="C189" t="s">
        <v>34</v>
      </c>
      <c r="D189" t="s">
        <v>18</v>
      </c>
      <c r="E189" t="s">
        <v>52</v>
      </c>
      <c r="F189">
        <v>3</v>
      </c>
      <c r="G189">
        <v>2</v>
      </c>
      <c r="H189" t="s">
        <v>16</v>
      </c>
      <c r="I189">
        <v>6</v>
      </c>
      <c r="J189" t="s">
        <v>44</v>
      </c>
      <c r="K189" t="s">
        <v>16</v>
      </c>
      <c r="L189" t="s">
        <v>16</v>
      </c>
    </row>
    <row r="190" spans="1:12" x14ac:dyDescent="0.3">
      <c r="A190">
        <v>2189</v>
      </c>
      <c r="B190">
        <v>88</v>
      </c>
      <c r="C190" t="s">
        <v>34</v>
      </c>
      <c r="D190" t="s">
        <v>18</v>
      </c>
      <c r="E190" t="s">
        <v>50</v>
      </c>
      <c r="F190">
        <v>3</v>
      </c>
      <c r="G190">
        <v>1</v>
      </c>
      <c r="H190" t="s">
        <v>16</v>
      </c>
      <c r="I190">
        <v>1</v>
      </c>
      <c r="J190" t="s">
        <v>36</v>
      </c>
      <c r="K190" t="s">
        <v>16</v>
      </c>
      <c r="L190" t="s">
        <v>16</v>
      </c>
    </row>
    <row r="191" spans="1:12" x14ac:dyDescent="0.3">
      <c r="A191">
        <v>2190</v>
      </c>
      <c r="B191">
        <v>54</v>
      </c>
      <c r="C191" t="s">
        <v>38</v>
      </c>
      <c r="D191" t="s">
        <v>13</v>
      </c>
      <c r="E191" t="s">
        <v>35</v>
      </c>
      <c r="F191">
        <v>13</v>
      </c>
      <c r="G191">
        <v>1</v>
      </c>
      <c r="H191" t="s">
        <v>14</v>
      </c>
      <c r="I191">
        <v>5</v>
      </c>
      <c r="J191" t="s">
        <v>33</v>
      </c>
      <c r="K191" t="s">
        <v>14</v>
      </c>
      <c r="L191" t="s">
        <v>16</v>
      </c>
    </row>
    <row r="192" spans="1:12" x14ac:dyDescent="0.3">
      <c r="A192">
        <v>2191</v>
      </c>
      <c r="B192">
        <v>60</v>
      </c>
      <c r="C192" t="s">
        <v>38</v>
      </c>
      <c r="D192" t="s">
        <v>13</v>
      </c>
      <c r="E192" t="s">
        <v>43</v>
      </c>
      <c r="F192">
        <v>13</v>
      </c>
      <c r="G192">
        <v>1</v>
      </c>
      <c r="H192" t="s">
        <v>16</v>
      </c>
      <c r="I192">
        <v>6</v>
      </c>
      <c r="J192" t="s">
        <v>33</v>
      </c>
      <c r="K192" t="s">
        <v>14</v>
      </c>
      <c r="L192" t="s">
        <v>16</v>
      </c>
    </row>
    <row r="193" spans="1:12" x14ac:dyDescent="0.3">
      <c r="A193">
        <v>2192</v>
      </c>
      <c r="B193">
        <v>25</v>
      </c>
      <c r="C193" t="s">
        <v>34</v>
      </c>
      <c r="D193" t="s">
        <v>13</v>
      </c>
      <c r="E193" t="s">
        <v>32</v>
      </c>
      <c r="F193">
        <v>3</v>
      </c>
      <c r="G193">
        <v>1</v>
      </c>
      <c r="H193" t="s">
        <v>14</v>
      </c>
      <c r="I193">
        <v>8</v>
      </c>
      <c r="J193" t="s">
        <v>48</v>
      </c>
      <c r="K193" t="s">
        <v>14</v>
      </c>
      <c r="L193" t="s">
        <v>16</v>
      </c>
    </row>
    <row r="194" spans="1:12" x14ac:dyDescent="0.3">
      <c r="A194">
        <v>2193</v>
      </c>
      <c r="B194">
        <v>36</v>
      </c>
      <c r="C194" t="s">
        <v>38</v>
      </c>
      <c r="D194" t="s">
        <v>15</v>
      </c>
      <c r="E194" t="s">
        <v>39</v>
      </c>
      <c r="F194">
        <v>6</v>
      </c>
      <c r="G194">
        <v>1</v>
      </c>
      <c r="H194" t="s">
        <v>14</v>
      </c>
      <c r="I194">
        <v>10</v>
      </c>
      <c r="J194" t="s">
        <v>44</v>
      </c>
      <c r="K194" t="s">
        <v>16</v>
      </c>
      <c r="L194" t="s">
        <v>16</v>
      </c>
    </row>
    <row r="195" spans="1:12" x14ac:dyDescent="0.3">
      <c r="A195">
        <v>2194</v>
      </c>
      <c r="B195">
        <v>78</v>
      </c>
      <c r="C195" t="s">
        <v>34</v>
      </c>
      <c r="D195" t="s">
        <v>13</v>
      </c>
      <c r="E195" t="s">
        <v>43</v>
      </c>
      <c r="F195">
        <v>11</v>
      </c>
      <c r="G195">
        <v>3</v>
      </c>
      <c r="H195" t="s">
        <v>16</v>
      </c>
      <c r="I195">
        <v>13</v>
      </c>
      <c r="J195" t="s">
        <v>44</v>
      </c>
      <c r="K195" t="s">
        <v>14</v>
      </c>
      <c r="L195" t="s">
        <v>16</v>
      </c>
    </row>
    <row r="196" spans="1:12" x14ac:dyDescent="0.3">
      <c r="A196">
        <v>2195</v>
      </c>
      <c r="B196">
        <v>48</v>
      </c>
      <c r="C196" t="s">
        <v>38</v>
      </c>
      <c r="D196" t="s">
        <v>19</v>
      </c>
      <c r="E196" t="s">
        <v>45</v>
      </c>
      <c r="F196">
        <v>4</v>
      </c>
      <c r="G196">
        <v>0</v>
      </c>
      <c r="H196" t="s">
        <v>16</v>
      </c>
      <c r="I196">
        <v>12</v>
      </c>
      <c r="J196" t="s">
        <v>36</v>
      </c>
      <c r="K196" t="s">
        <v>14</v>
      </c>
      <c r="L196" t="s">
        <v>16</v>
      </c>
    </row>
    <row r="197" spans="1:12" x14ac:dyDescent="0.3">
      <c r="A197">
        <v>2196</v>
      </c>
      <c r="B197">
        <v>23</v>
      </c>
      <c r="C197" t="s">
        <v>38</v>
      </c>
      <c r="D197" t="s">
        <v>13</v>
      </c>
      <c r="E197" t="s">
        <v>35</v>
      </c>
      <c r="F197">
        <v>10</v>
      </c>
      <c r="G197">
        <v>0</v>
      </c>
      <c r="H197" t="s">
        <v>14</v>
      </c>
      <c r="I197">
        <v>1</v>
      </c>
      <c r="J197" t="s">
        <v>48</v>
      </c>
      <c r="K197" t="s">
        <v>14</v>
      </c>
      <c r="L197" t="s">
        <v>16</v>
      </c>
    </row>
    <row r="198" spans="1:12" x14ac:dyDescent="0.3">
      <c r="A198">
        <v>2197</v>
      </c>
      <c r="B198">
        <v>76</v>
      </c>
      <c r="C198" t="s">
        <v>38</v>
      </c>
      <c r="D198" t="s">
        <v>19</v>
      </c>
      <c r="E198" t="s">
        <v>46</v>
      </c>
      <c r="F198">
        <v>12</v>
      </c>
      <c r="G198">
        <v>1</v>
      </c>
      <c r="H198" t="s">
        <v>16</v>
      </c>
      <c r="I198">
        <v>1</v>
      </c>
      <c r="J198" t="s">
        <v>48</v>
      </c>
      <c r="K198" t="s">
        <v>14</v>
      </c>
      <c r="L198" t="s">
        <v>16</v>
      </c>
    </row>
    <row r="199" spans="1:12" x14ac:dyDescent="0.3">
      <c r="A199">
        <v>2198</v>
      </c>
      <c r="B199">
        <v>37</v>
      </c>
      <c r="C199" t="s">
        <v>38</v>
      </c>
      <c r="D199" t="s">
        <v>13</v>
      </c>
      <c r="E199" t="s">
        <v>35</v>
      </c>
      <c r="F199">
        <v>9</v>
      </c>
      <c r="G199">
        <v>0</v>
      </c>
      <c r="H199" t="s">
        <v>16</v>
      </c>
      <c r="I199">
        <v>4</v>
      </c>
      <c r="J199" t="s">
        <v>44</v>
      </c>
      <c r="K199" t="s">
        <v>14</v>
      </c>
      <c r="L199" t="s">
        <v>16</v>
      </c>
    </row>
    <row r="200" spans="1:12" x14ac:dyDescent="0.3">
      <c r="A200">
        <v>2199</v>
      </c>
      <c r="B200">
        <v>52</v>
      </c>
      <c r="C200" t="s">
        <v>38</v>
      </c>
      <c r="D200" t="s">
        <v>17</v>
      </c>
      <c r="E200" t="s">
        <v>53</v>
      </c>
      <c r="F200">
        <v>5</v>
      </c>
      <c r="G200">
        <v>3</v>
      </c>
      <c r="H200" t="s">
        <v>14</v>
      </c>
      <c r="I200">
        <v>12</v>
      </c>
      <c r="J200" t="s">
        <v>44</v>
      </c>
      <c r="K200" t="s">
        <v>14</v>
      </c>
      <c r="L200" t="s">
        <v>16</v>
      </c>
    </row>
    <row r="201" spans="1:12" x14ac:dyDescent="0.3">
      <c r="A201">
        <v>2200</v>
      </c>
      <c r="B201">
        <v>54</v>
      </c>
      <c r="C201" t="s">
        <v>38</v>
      </c>
      <c r="D201" t="s">
        <v>19</v>
      </c>
      <c r="E201" t="s">
        <v>41</v>
      </c>
      <c r="F201">
        <v>7</v>
      </c>
      <c r="G201">
        <v>1</v>
      </c>
      <c r="H201" t="s">
        <v>16</v>
      </c>
      <c r="I201">
        <v>4</v>
      </c>
      <c r="J201" t="s">
        <v>48</v>
      </c>
      <c r="K201" t="s">
        <v>14</v>
      </c>
      <c r="L201" t="s">
        <v>16</v>
      </c>
    </row>
    <row r="202" spans="1:12" x14ac:dyDescent="0.3">
      <c r="A202">
        <v>2201</v>
      </c>
      <c r="B202">
        <v>57</v>
      </c>
      <c r="C202" t="s">
        <v>34</v>
      </c>
      <c r="D202" t="s">
        <v>19</v>
      </c>
      <c r="E202" t="s">
        <v>46</v>
      </c>
      <c r="F202">
        <v>7</v>
      </c>
      <c r="G202">
        <v>0</v>
      </c>
      <c r="H202" t="s">
        <v>16</v>
      </c>
      <c r="I202">
        <v>1</v>
      </c>
      <c r="J202" t="s">
        <v>33</v>
      </c>
      <c r="K202" t="s">
        <v>14</v>
      </c>
      <c r="L202" t="s">
        <v>16</v>
      </c>
    </row>
    <row r="203" spans="1:12" x14ac:dyDescent="0.3">
      <c r="A203">
        <v>2202</v>
      </c>
      <c r="B203">
        <v>22</v>
      </c>
      <c r="C203" t="s">
        <v>38</v>
      </c>
      <c r="D203" t="s">
        <v>15</v>
      </c>
      <c r="E203" t="s">
        <v>40</v>
      </c>
      <c r="F203">
        <v>2</v>
      </c>
      <c r="G203">
        <v>0</v>
      </c>
      <c r="H203" t="s">
        <v>16</v>
      </c>
      <c r="I203">
        <v>9</v>
      </c>
      <c r="J203" t="s">
        <v>36</v>
      </c>
      <c r="K203" t="s">
        <v>14</v>
      </c>
      <c r="L203" t="s">
        <v>16</v>
      </c>
    </row>
    <row r="204" spans="1:12" x14ac:dyDescent="0.3">
      <c r="A204">
        <v>2203</v>
      </c>
      <c r="B204">
        <v>19</v>
      </c>
      <c r="C204" t="s">
        <v>34</v>
      </c>
      <c r="D204" t="s">
        <v>19</v>
      </c>
      <c r="E204" t="s">
        <v>41</v>
      </c>
      <c r="F204">
        <v>13</v>
      </c>
      <c r="G204">
        <v>0</v>
      </c>
      <c r="H204" t="s">
        <v>14</v>
      </c>
      <c r="I204">
        <v>4</v>
      </c>
      <c r="J204" t="s">
        <v>33</v>
      </c>
      <c r="K204" t="s">
        <v>16</v>
      </c>
      <c r="L204" t="s">
        <v>14</v>
      </c>
    </row>
    <row r="205" spans="1:12" x14ac:dyDescent="0.3">
      <c r="A205">
        <v>2204</v>
      </c>
      <c r="B205">
        <v>53</v>
      </c>
      <c r="C205" t="s">
        <v>34</v>
      </c>
      <c r="D205" t="s">
        <v>19</v>
      </c>
      <c r="E205" t="s">
        <v>41</v>
      </c>
      <c r="F205">
        <v>3</v>
      </c>
      <c r="G205">
        <v>0</v>
      </c>
      <c r="H205" t="s">
        <v>16</v>
      </c>
      <c r="I205">
        <v>5</v>
      </c>
      <c r="J205" t="s">
        <v>33</v>
      </c>
      <c r="K205" t="s">
        <v>14</v>
      </c>
      <c r="L205" t="s">
        <v>16</v>
      </c>
    </row>
    <row r="206" spans="1:12" x14ac:dyDescent="0.3">
      <c r="A206">
        <v>2205</v>
      </c>
      <c r="B206">
        <v>54</v>
      </c>
      <c r="C206" t="s">
        <v>38</v>
      </c>
      <c r="D206" t="s">
        <v>13</v>
      </c>
      <c r="E206" t="s">
        <v>43</v>
      </c>
      <c r="F206">
        <v>14</v>
      </c>
      <c r="G206">
        <v>1</v>
      </c>
      <c r="H206" t="s">
        <v>14</v>
      </c>
      <c r="I206">
        <v>12</v>
      </c>
      <c r="J206" t="s">
        <v>48</v>
      </c>
      <c r="K206" t="s">
        <v>16</v>
      </c>
      <c r="L206" t="s">
        <v>14</v>
      </c>
    </row>
    <row r="207" spans="1:12" x14ac:dyDescent="0.3">
      <c r="A207">
        <v>2206</v>
      </c>
      <c r="B207">
        <v>82</v>
      </c>
      <c r="C207" t="s">
        <v>34</v>
      </c>
      <c r="D207" t="s">
        <v>19</v>
      </c>
      <c r="E207" t="s">
        <v>41</v>
      </c>
      <c r="F207">
        <v>5</v>
      </c>
      <c r="G207">
        <v>2</v>
      </c>
      <c r="H207" t="s">
        <v>14</v>
      </c>
      <c r="I207">
        <v>12</v>
      </c>
      <c r="J207" t="s">
        <v>48</v>
      </c>
      <c r="K207" t="s">
        <v>16</v>
      </c>
      <c r="L207" t="s">
        <v>14</v>
      </c>
    </row>
    <row r="208" spans="1:12" x14ac:dyDescent="0.3">
      <c r="A208">
        <v>2207</v>
      </c>
      <c r="B208">
        <v>32</v>
      </c>
      <c r="C208" t="s">
        <v>34</v>
      </c>
      <c r="D208" t="s">
        <v>15</v>
      </c>
      <c r="E208" t="s">
        <v>40</v>
      </c>
      <c r="F208">
        <v>2</v>
      </c>
      <c r="G208">
        <v>0</v>
      </c>
      <c r="H208" t="s">
        <v>16</v>
      </c>
      <c r="I208">
        <v>4</v>
      </c>
      <c r="J208" t="s">
        <v>33</v>
      </c>
      <c r="K208" t="s">
        <v>16</v>
      </c>
      <c r="L208" t="s">
        <v>16</v>
      </c>
    </row>
    <row r="209" spans="1:12" x14ac:dyDescent="0.3">
      <c r="A209">
        <v>2208</v>
      </c>
      <c r="B209">
        <v>48</v>
      </c>
      <c r="C209" t="s">
        <v>34</v>
      </c>
      <c r="D209" t="s">
        <v>15</v>
      </c>
      <c r="E209" t="s">
        <v>40</v>
      </c>
      <c r="F209">
        <v>4</v>
      </c>
      <c r="G209">
        <v>1</v>
      </c>
      <c r="H209" t="s">
        <v>16</v>
      </c>
      <c r="I209">
        <v>6</v>
      </c>
      <c r="J209" t="s">
        <v>48</v>
      </c>
      <c r="K209" t="s">
        <v>16</v>
      </c>
      <c r="L209" t="s">
        <v>16</v>
      </c>
    </row>
    <row r="210" spans="1:12" x14ac:dyDescent="0.3">
      <c r="A210">
        <v>2209</v>
      </c>
      <c r="B210">
        <v>24</v>
      </c>
      <c r="C210" t="s">
        <v>38</v>
      </c>
      <c r="D210" t="s">
        <v>13</v>
      </c>
      <c r="E210" t="s">
        <v>35</v>
      </c>
      <c r="F210">
        <v>10</v>
      </c>
      <c r="G210">
        <v>0</v>
      </c>
      <c r="H210" t="s">
        <v>14</v>
      </c>
      <c r="I210">
        <v>13</v>
      </c>
      <c r="J210" t="s">
        <v>33</v>
      </c>
      <c r="K210" t="s">
        <v>16</v>
      </c>
      <c r="L210" t="s">
        <v>16</v>
      </c>
    </row>
    <row r="211" spans="1:12" x14ac:dyDescent="0.3">
      <c r="A211">
        <v>2210</v>
      </c>
      <c r="B211">
        <v>69</v>
      </c>
      <c r="C211" t="s">
        <v>38</v>
      </c>
      <c r="D211" t="s">
        <v>15</v>
      </c>
      <c r="E211" t="s">
        <v>39</v>
      </c>
      <c r="F211">
        <v>12</v>
      </c>
      <c r="G211">
        <v>0</v>
      </c>
      <c r="H211" t="s">
        <v>14</v>
      </c>
      <c r="I211">
        <v>14</v>
      </c>
      <c r="J211" t="s">
        <v>44</v>
      </c>
      <c r="K211" t="s">
        <v>16</v>
      </c>
      <c r="L211" t="s">
        <v>14</v>
      </c>
    </row>
    <row r="212" spans="1:12" x14ac:dyDescent="0.3">
      <c r="A212">
        <v>2211</v>
      </c>
      <c r="B212">
        <v>89</v>
      </c>
      <c r="C212" t="s">
        <v>34</v>
      </c>
      <c r="D212" t="s">
        <v>13</v>
      </c>
      <c r="E212" t="s">
        <v>32</v>
      </c>
      <c r="F212">
        <v>7</v>
      </c>
      <c r="G212">
        <v>2</v>
      </c>
      <c r="H212" t="s">
        <v>16</v>
      </c>
      <c r="I212">
        <v>1</v>
      </c>
      <c r="J212" t="s">
        <v>33</v>
      </c>
      <c r="K212" t="s">
        <v>16</v>
      </c>
      <c r="L212" t="s">
        <v>16</v>
      </c>
    </row>
    <row r="213" spans="1:12" x14ac:dyDescent="0.3">
      <c r="A213">
        <v>2212</v>
      </c>
      <c r="B213">
        <v>45</v>
      </c>
      <c r="C213" t="s">
        <v>34</v>
      </c>
      <c r="D213" t="s">
        <v>18</v>
      </c>
      <c r="E213" t="s">
        <v>51</v>
      </c>
      <c r="F213">
        <v>12</v>
      </c>
      <c r="G213">
        <v>0</v>
      </c>
      <c r="H213" t="s">
        <v>16</v>
      </c>
      <c r="I213">
        <v>5</v>
      </c>
      <c r="J213" t="s">
        <v>33</v>
      </c>
      <c r="K213" t="s">
        <v>16</v>
      </c>
      <c r="L213" t="s">
        <v>16</v>
      </c>
    </row>
    <row r="214" spans="1:12" x14ac:dyDescent="0.3">
      <c r="A214">
        <v>2213</v>
      </c>
      <c r="B214">
        <v>20</v>
      </c>
      <c r="C214" t="s">
        <v>38</v>
      </c>
      <c r="D214" t="s">
        <v>13</v>
      </c>
      <c r="E214" t="s">
        <v>32</v>
      </c>
      <c r="F214">
        <v>14</v>
      </c>
      <c r="G214">
        <v>0</v>
      </c>
      <c r="H214" t="s">
        <v>16</v>
      </c>
      <c r="I214">
        <v>10</v>
      </c>
      <c r="J214" t="s">
        <v>33</v>
      </c>
      <c r="K214" t="s">
        <v>14</v>
      </c>
      <c r="L214" t="s">
        <v>16</v>
      </c>
    </row>
    <row r="215" spans="1:12" x14ac:dyDescent="0.3">
      <c r="A215">
        <v>2214</v>
      </c>
      <c r="B215">
        <v>79</v>
      </c>
      <c r="C215" t="s">
        <v>34</v>
      </c>
      <c r="D215" t="s">
        <v>15</v>
      </c>
      <c r="E215" t="s">
        <v>40</v>
      </c>
      <c r="F215">
        <v>13</v>
      </c>
      <c r="G215">
        <v>1</v>
      </c>
      <c r="H215" t="s">
        <v>14</v>
      </c>
      <c r="I215">
        <v>13</v>
      </c>
      <c r="J215" t="s">
        <v>44</v>
      </c>
      <c r="K215" t="s">
        <v>14</v>
      </c>
      <c r="L215" t="s">
        <v>16</v>
      </c>
    </row>
    <row r="216" spans="1:12" x14ac:dyDescent="0.3">
      <c r="A216">
        <v>2215</v>
      </c>
      <c r="B216">
        <v>26</v>
      </c>
      <c r="C216" t="s">
        <v>34</v>
      </c>
      <c r="D216" t="s">
        <v>18</v>
      </c>
      <c r="E216" t="s">
        <v>51</v>
      </c>
      <c r="F216">
        <v>2</v>
      </c>
      <c r="G216">
        <v>2</v>
      </c>
      <c r="H216" t="s">
        <v>16</v>
      </c>
      <c r="I216">
        <v>11</v>
      </c>
      <c r="J216" t="s">
        <v>33</v>
      </c>
      <c r="K216" t="s">
        <v>14</v>
      </c>
      <c r="L216" t="s">
        <v>16</v>
      </c>
    </row>
    <row r="217" spans="1:12" x14ac:dyDescent="0.3">
      <c r="A217">
        <v>2216</v>
      </c>
      <c r="B217">
        <v>87</v>
      </c>
      <c r="C217" t="s">
        <v>34</v>
      </c>
      <c r="D217" t="s">
        <v>17</v>
      </c>
      <c r="E217" t="s">
        <v>49</v>
      </c>
      <c r="F217">
        <v>1</v>
      </c>
      <c r="G217">
        <v>0</v>
      </c>
      <c r="H217" t="s">
        <v>16</v>
      </c>
      <c r="I217">
        <v>3</v>
      </c>
      <c r="J217" t="s">
        <v>33</v>
      </c>
      <c r="K217" t="s">
        <v>16</v>
      </c>
      <c r="L217" t="s">
        <v>16</v>
      </c>
    </row>
    <row r="218" spans="1:12" x14ac:dyDescent="0.3">
      <c r="A218">
        <v>2217</v>
      </c>
      <c r="B218">
        <v>51</v>
      </c>
      <c r="C218" t="s">
        <v>38</v>
      </c>
      <c r="D218" t="s">
        <v>19</v>
      </c>
      <c r="E218" t="s">
        <v>41</v>
      </c>
      <c r="F218">
        <v>2</v>
      </c>
      <c r="G218">
        <v>0</v>
      </c>
      <c r="H218" t="s">
        <v>16</v>
      </c>
      <c r="I218">
        <v>10</v>
      </c>
      <c r="J218" t="s">
        <v>36</v>
      </c>
      <c r="K218" t="s">
        <v>14</v>
      </c>
      <c r="L218" t="s">
        <v>16</v>
      </c>
    </row>
    <row r="219" spans="1:12" x14ac:dyDescent="0.3">
      <c r="A219">
        <v>2218</v>
      </c>
      <c r="B219">
        <v>46</v>
      </c>
      <c r="C219" t="s">
        <v>38</v>
      </c>
      <c r="D219" t="s">
        <v>19</v>
      </c>
      <c r="E219" t="s">
        <v>45</v>
      </c>
      <c r="F219">
        <v>13</v>
      </c>
      <c r="G219">
        <v>4</v>
      </c>
      <c r="H219" t="s">
        <v>14</v>
      </c>
      <c r="I219">
        <v>6</v>
      </c>
      <c r="J219" t="s">
        <v>33</v>
      </c>
      <c r="K219" t="s">
        <v>16</v>
      </c>
      <c r="L219" t="s">
        <v>14</v>
      </c>
    </row>
    <row r="220" spans="1:12" x14ac:dyDescent="0.3">
      <c r="A220">
        <v>2219</v>
      </c>
      <c r="B220">
        <v>67</v>
      </c>
      <c r="C220" t="s">
        <v>34</v>
      </c>
      <c r="D220" t="s">
        <v>17</v>
      </c>
      <c r="E220" t="s">
        <v>53</v>
      </c>
      <c r="F220">
        <v>10</v>
      </c>
      <c r="G220">
        <v>0</v>
      </c>
      <c r="H220" t="s">
        <v>14</v>
      </c>
      <c r="I220">
        <v>12</v>
      </c>
      <c r="J220" t="s">
        <v>44</v>
      </c>
      <c r="K220" t="s">
        <v>14</v>
      </c>
      <c r="L220" t="s">
        <v>16</v>
      </c>
    </row>
    <row r="221" spans="1:12" x14ac:dyDescent="0.3">
      <c r="A221">
        <v>2220</v>
      </c>
      <c r="B221">
        <v>51</v>
      </c>
      <c r="C221" t="s">
        <v>38</v>
      </c>
      <c r="D221" t="s">
        <v>13</v>
      </c>
      <c r="E221" t="s">
        <v>43</v>
      </c>
      <c r="F221">
        <v>11</v>
      </c>
      <c r="G221">
        <v>0</v>
      </c>
      <c r="H221" t="s">
        <v>14</v>
      </c>
      <c r="I221">
        <v>8</v>
      </c>
      <c r="J221" t="s">
        <v>48</v>
      </c>
      <c r="K221" t="s">
        <v>14</v>
      </c>
      <c r="L221" t="s">
        <v>16</v>
      </c>
    </row>
    <row r="222" spans="1:12" x14ac:dyDescent="0.3">
      <c r="A222">
        <v>2221</v>
      </c>
      <c r="B222">
        <v>35</v>
      </c>
      <c r="C222" t="s">
        <v>34</v>
      </c>
      <c r="D222" t="s">
        <v>15</v>
      </c>
      <c r="E222" t="s">
        <v>39</v>
      </c>
      <c r="F222">
        <v>14</v>
      </c>
      <c r="G222">
        <v>2</v>
      </c>
      <c r="H222" t="s">
        <v>16</v>
      </c>
      <c r="I222">
        <v>7</v>
      </c>
      <c r="J222" t="s">
        <v>33</v>
      </c>
      <c r="K222" t="s">
        <v>14</v>
      </c>
      <c r="L222" t="s">
        <v>16</v>
      </c>
    </row>
    <row r="223" spans="1:12" x14ac:dyDescent="0.3">
      <c r="A223">
        <v>2222</v>
      </c>
      <c r="B223">
        <v>19</v>
      </c>
      <c r="C223" t="s">
        <v>34</v>
      </c>
      <c r="D223" t="s">
        <v>13</v>
      </c>
      <c r="E223" t="s">
        <v>32</v>
      </c>
      <c r="F223">
        <v>5</v>
      </c>
      <c r="G223">
        <v>2</v>
      </c>
      <c r="H223" t="s">
        <v>14</v>
      </c>
      <c r="I223">
        <v>12</v>
      </c>
      <c r="J223" t="s">
        <v>36</v>
      </c>
      <c r="K223" t="s">
        <v>16</v>
      </c>
      <c r="L223" t="s">
        <v>16</v>
      </c>
    </row>
    <row r="224" spans="1:12" x14ac:dyDescent="0.3">
      <c r="A224">
        <v>2223</v>
      </c>
      <c r="B224">
        <v>36</v>
      </c>
      <c r="C224" t="s">
        <v>38</v>
      </c>
      <c r="D224" t="s">
        <v>15</v>
      </c>
      <c r="E224" t="s">
        <v>39</v>
      </c>
      <c r="F224">
        <v>2</v>
      </c>
      <c r="G224">
        <v>0</v>
      </c>
      <c r="H224" t="s">
        <v>14</v>
      </c>
      <c r="I224">
        <v>1</v>
      </c>
      <c r="J224" t="s">
        <v>33</v>
      </c>
      <c r="K224" t="s">
        <v>16</v>
      </c>
      <c r="L224" t="s">
        <v>14</v>
      </c>
    </row>
    <row r="225" spans="1:12" x14ac:dyDescent="0.3">
      <c r="A225">
        <v>2224</v>
      </c>
      <c r="B225">
        <v>86</v>
      </c>
      <c r="C225" t="s">
        <v>34</v>
      </c>
      <c r="D225" t="s">
        <v>15</v>
      </c>
      <c r="E225" t="s">
        <v>39</v>
      </c>
      <c r="F225">
        <v>3</v>
      </c>
      <c r="G225">
        <v>0</v>
      </c>
      <c r="H225" t="s">
        <v>16</v>
      </c>
      <c r="I225">
        <v>12</v>
      </c>
      <c r="J225" t="s">
        <v>33</v>
      </c>
      <c r="K225" t="s">
        <v>16</v>
      </c>
      <c r="L225" t="s">
        <v>16</v>
      </c>
    </row>
    <row r="226" spans="1:12" x14ac:dyDescent="0.3">
      <c r="A226">
        <v>2225</v>
      </c>
      <c r="B226">
        <v>26</v>
      </c>
      <c r="C226" t="s">
        <v>34</v>
      </c>
      <c r="D226" t="s">
        <v>19</v>
      </c>
      <c r="E226" t="s">
        <v>45</v>
      </c>
      <c r="F226">
        <v>14</v>
      </c>
      <c r="G226">
        <v>0</v>
      </c>
      <c r="H226" t="s">
        <v>16</v>
      </c>
      <c r="I226">
        <v>6</v>
      </c>
      <c r="J226" t="s">
        <v>33</v>
      </c>
      <c r="K226" t="s">
        <v>14</v>
      </c>
      <c r="L226" t="s">
        <v>16</v>
      </c>
    </row>
    <row r="227" spans="1:12" x14ac:dyDescent="0.3">
      <c r="A227">
        <v>2226</v>
      </c>
      <c r="B227">
        <v>76</v>
      </c>
      <c r="C227" t="s">
        <v>34</v>
      </c>
      <c r="D227" t="s">
        <v>13</v>
      </c>
      <c r="E227" t="s">
        <v>32</v>
      </c>
      <c r="F227">
        <v>14</v>
      </c>
      <c r="G227">
        <v>0</v>
      </c>
      <c r="H227" t="s">
        <v>14</v>
      </c>
      <c r="I227">
        <v>11</v>
      </c>
      <c r="J227" t="s">
        <v>48</v>
      </c>
      <c r="K227" t="s">
        <v>14</v>
      </c>
      <c r="L227" t="s">
        <v>14</v>
      </c>
    </row>
    <row r="228" spans="1:12" x14ac:dyDescent="0.3">
      <c r="A228">
        <v>2227</v>
      </c>
      <c r="B228">
        <v>29</v>
      </c>
      <c r="C228" t="s">
        <v>38</v>
      </c>
      <c r="D228" t="s">
        <v>13</v>
      </c>
      <c r="E228" t="s">
        <v>35</v>
      </c>
      <c r="F228">
        <v>13</v>
      </c>
      <c r="G228">
        <v>1</v>
      </c>
      <c r="H228" t="s">
        <v>16</v>
      </c>
      <c r="I228">
        <v>8</v>
      </c>
      <c r="J228" t="s">
        <v>33</v>
      </c>
      <c r="K228" t="s">
        <v>16</v>
      </c>
      <c r="L228" t="s">
        <v>16</v>
      </c>
    </row>
    <row r="229" spans="1:12" x14ac:dyDescent="0.3">
      <c r="A229">
        <v>2228</v>
      </c>
      <c r="B229">
        <v>39</v>
      </c>
      <c r="C229" t="s">
        <v>38</v>
      </c>
      <c r="D229" t="s">
        <v>15</v>
      </c>
      <c r="E229" t="s">
        <v>40</v>
      </c>
      <c r="F229">
        <v>13</v>
      </c>
      <c r="G229">
        <v>0</v>
      </c>
      <c r="H229" t="s">
        <v>16</v>
      </c>
      <c r="I229">
        <v>9</v>
      </c>
      <c r="J229" t="s">
        <v>33</v>
      </c>
      <c r="K229" t="s">
        <v>14</v>
      </c>
      <c r="L229" t="s">
        <v>16</v>
      </c>
    </row>
    <row r="230" spans="1:12" x14ac:dyDescent="0.3">
      <c r="A230">
        <v>2229</v>
      </c>
      <c r="B230">
        <v>52</v>
      </c>
      <c r="C230" t="s">
        <v>34</v>
      </c>
      <c r="D230" t="s">
        <v>18</v>
      </c>
      <c r="E230" t="s">
        <v>51</v>
      </c>
      <c r="F230">
        <v>9</v>
      </c>
      <c r="G230">
        <v>0</v>
      </c>
      <c r="H230" t="s">
        <v>16</v>
      </c>
      <c r="I230">
        <v>7</v>
      </c>
      <c r="J230" t="s">
        <v>33</v>
      </c>
      <c r="K230" t="s">
        <v>16</v>
      </c>
      <c r="L230" t="s">
        <v>16</v>
      </c>
    </row>
    <row r="231" spans="1:12" x14ac:dyDescent="0.3">
      <c r="A231">
        <v>2230</v>
      </c>
      <c r="B231">
        <v>42</v>
      </c>
      <c r="C231" t="s">
        <v>34</v>
      </c>
      <c r="D231" t="s">
        <v>15</v>
      </c>
      <c r="E231" t="s">
        <v>40</v>
      </c>
      <c r="F231">
        <v>10</v>
      </c>
      <c r="G231">
        <v>2</v>
      </c>
      <c r="H231" t="s">
        <v>14</v>
      </c>
      <c r="I231">
        <v>11</v>
      </c>
      <c r="J231" t="s">
        <v>33</v>
      </c>
      <c r="K231" t="s">
        <v>14</v>
      </c>
      <c r="L231" t="s">
        <v>14</v>
      </c>
    </row>
    <row r="232" spans="1:12" x14ac:dyDescent="0.3">
      <c r="A232">
        <v>2231</v>
      </c>
      <c r="B232">
        <v>67</v>
      </c>
      <c r="C232" t="s">
        <v>34</v>
      </c>
      <c r="D232" t="s">
        <v>19</v>
      </c>
      <c r="E232" t="s">
        <v>41</v>
      </c>
      <c r="F232">
        <v>2</v>
      </c>
      <c r="G232">
        <v>0</v>
      </c>
      <c r="H232" t="s">
        <v>14</v>
      </c>
      <c r="I232">
        <v>2</v>
      </c>
      <c r="J232" t="s">
        <v>36</v>
      </c>
      <c r="K232" t="s">
        <v>16</v>
      </c>
      <c r="L232" t="s">
        <v>14</v>
      </c>
    </row>
    <row r="233" spans="1:12" x14ac:dyDescent="0.3">
      <c r="A233">
        <v>2232</v>
      </c>
      <c r="B233">
        <v>85</v>
      </c>
      <c r="C233" t="s">
        <v>38</v>
      </c>
      <c r="D233" t="s">
        <v>18</v>
      </c>
      <c r="E233" t="s">
        <v>52</v>
      </c>
      <c r="F233">
        <v>14</v>
      </c>
      <c r="G233">
        <v>0</v>
      </c>
      <c r="H233" t="s">
        <v>16</v>
      </c>
      <c r="I233">
        <v>8</v>
      </c>
      <c r="J233" t="s">
        <v>44</v>
      </c>
      <c r="K233" t="s">
        <v>16</v>
      </c>
      <c r="L233" t="s">
        <v>16</v>
      </c>
    </row>
    <row r="234" spans="1:12" x14ac:dyDescent="0.3">
      <c r="A234">
        <v>2233</v>
      </c>
      <c r="B234">
        <v>34</v>
      </c>
      <c r="C234" t="s">
        <v>38</v>
      </c>
      <c r="D234" t="s">
        <v>15</v>
      </c>
      <c r="E234" t="s">
        <v>37</v>
      </c>
      <c r="F234">
        <v>3</v>
      </c>
      <c r="G234">
        <v>0</v>
      </c>
      <c r="H234" t="s">
        <v>16</v>
      </c>
      <c r="I234">
        <v>9</v>
      </c>
      <c r="J234" t="s">
        <v>33</v>
      </c>
      <c r="K234" t="s">
        <v>14</v>
      </c>
      <c r="L234" t="s">
        <v>16</v>
      </c>
    </row>
    <row r="235" spans="1:12" x14ac:dyDescent="0.3">
      <c r="A235">
        <v>2234</v>
      </c>
      <c r="B235">
        <v>75</v>
      </c>
      <c r="C235" t="s">
        <v>34</v>
      </c>
      <c r="D235" t="s">
        <v>13</v>
      </c>
      <c r="E235" t="s">
        <v>32</v>
      </c>
      <c r="F235">
        <v>3</v>
      </c>
      <c r="G235">
        <v>0</v>
      </c>
      <c r="H235" t="s">
        <v>16</v>
      </c>
      <c r="I235">
        <v>10</v>
      </c>
      <c r="J235" t="s">
        <v>33</v>
      </c>
      <c r="K235" t="s">
        <v>14</v>
      </c>
      <c r="L235" t="s">
        <v>16</v>
      </c>
    </row>
    <row r="236" spans="1:12" x14ac:dyDescent="0.3">
      <c r="A236">
        <v>2235</v>
      </c>
      <c r="B236">
        <v>28</v>
      </c>
      <c r="C236" t="s">
        <v>34</v>
      </c>
      <c r="D236" t="s">
        <v>18</v>
      </c>
      <c r="E236" t="s">
        <v>51</v>
      </c>
      <c r="F236">
        <v>10</v>
      </c>
      <c r="G236">
        <v>1</v>
      </c>
      <c r="H236" t="s">
        <v>14</v>
      </c>
      <c r="I236">
        <v>14</v>
      </c>
      <c r="J236" t="s">
        <v>36</v>
      </c>
      <c r="K236" t="s">
        <v>16</v>
      </c>
      <c r="L236" t="s">
        <v>14</v>
      </c>
    </row>
    <row r="237" spans="1:12" x14ac:dyDescent="0.3">
      <c r="A237">
        <v>2236</v>
      </c>
      <c r="B237">
        <v>58</v>
      </c>
      <c r="C237" t="s">
        <v>38</v>
      </c>
      <c r="D237" t="s">
        <v>15</v>
      </c>
      <c r="E237" t="s">
        <v>40</v>
      </c>
      <c r="F237">
        <v>13</v>
      </c>
      <c r="G237">
        <v>1</v>
      </c>
      <c r="H237" t="s">
        <v>16</v>
      </c>
      <c r="I237">
        <v>2</v>
      </c>
      <c r="J237" t="s">
        <v>33</v>
      </c>
      <c r="K237" t="s">
        <v>14</v>
      </c>
      <c r="L237" t="s">
        <v>16</v>
      </c>
    </row>
    <row r="238" spans="1:12" x14ac:dyDescent="0.3">
      <c r="A238">
        <v>2237</v>
      </c>
      <c r="B238">
        <v>38</v>
      </c>
      <c r="C238" t="s">
        <v>34</v>
      </c>
      <c r="D238" t="s">
        <v>13</v>
      </c>
      <c r="E238" t="s">
        <v>32</v>
      </c>
      <c r="F238">
        <v>7</v>
      </c>
      <c r="G238">
        <v>1</v>
      </c>
      <c r="H238" t="s">
        <v>16</v>
      </c>
      <c r="I238">
        <v>13</v>
      </c>
      <c r="J238" t="s">
        <v>48</v>
      </c>
      <c r="K238" t="s">
        <v>14</v>
      </c>
      <c r="L238" t="s">
        <v>16</v>
      </c>
    </row>
    <row r="239" spans="1:12" x14ac:dyDescent="0.3">
      <c r="A239">
        <v>2238</v>
      </c>
      <c r="B239">
        <v>59</v>
      </c>
      <c r="C239" t="s">
        <v>34</v>
      </c>
      <c r="D239" t="s">
        <v>17</v>
      </c>
      <c r="E239" t="s">
        <v>42</v>
      </c>
      <c r="F239">
        <v>7</v>
      </c>
      <c r="G239">
        <v>1</v>
      </c>
      <c r="H239" t="s">
        <v>16</v>
      </c>
      <c r="I239">
        <v>8</v>
      </c>
      <c r="J239" t="s">
        <v>33</v>
      </c>
      <c r="K239" t="s">
        <v>14</v>
      </c>
      <c r="L239" t="s">
        <v>16</v>
      </c>
    </row>
    <row r="240" spans="1:12" x14ac:dyDescent="0.3">
      <c r="A240">
        <v>2239</v>
      </c>
      <c r="B240">
        <v>60</v>
      </c>
      <c r="C240" t="s">
        <v>38</v>
      </c>
      <c r="D240" t="s">
        <v>13</v>
      </c>
      <c r="E240" t="s">
        <v>35</v>
      </c>
      <c r="F240">
        <v>8</v>
      </c>
      <c r="G240">
        <v>2</v>
      </c>
      <c r="H240" t="s">
        <v>14</v>
      </c>
      <c r="I240">
        <v>3</v>
      </c>
      <c r="J240" t="s">
        <v>33</v>
      </c>
      <c r="K240" t="s">
        <v>14</v>
      </c>
      <c r="L240" t="s">
        <v>16</v>
      </c>
    </row>
    <row r="241" spans="1:12" x14ac:dyDescent="0.3">
      <c r="A241">
        <v>2240</v>
      </c>
      <c r="B241">
        <v>41</v>
      </c>
      <c r="C241" t="s">
        <v>34</v>
      </c>
      <c r="D241" t="s">
        <v>13</v>
      </c>
      <c r="E241" t="s">
        <v>35</v>
      </c>
      <c r="F241">
        <v>3</v>
      </c>
      <c r="G241">
        <v>0</v>
      </c>
      <c r="H241" t="s">
        <v>16</v>
      </c>
      <c r="I241">
        <v>7</v>
      </c>
      <c r="J241" t="s">
        <v>33</v>
      </c>
      <c r="K241" t="s">
        <v>14</v>
      </c>
      <c r="L241" t="s">
        <v>16</v>
      </c>
    </row>
    <row r="242" spans="1:12" x14ac:dyDescent="0.3">
      <c r="A242">
        <v>2241</v>
      </c>
      <c r="B242">
        <v>84</v>
      </c>
      <c r="C242" t="s">
        <v>34</v>
      </c>
      <c r="D242" t="s">
        <v>17</v>
      </c>
      <c r="E242" t="s">
        <v>53</v>
      </c>
      <c r="F242">
        <v>11</v>
      </c>
      <c r="G242">
        <v>3</v>
      </c>
      <c r="H242" t="s">
        <v>14</v>
      </c>
      <c r="I242">
        <v>11</v>
      </c>
      <c r="J242" t="s">
        <v>36</v>
      </c>
      <c r="K242" t="s">
        <v>14</v>
      </c>
      <c r="L242" t="s">
        <v>14</v>
      </c>
    </row>
    <row r="243" spans="1:12" x14ac:dyDescent="0.3">
      <c r="A243">
        <v>2242</v>
      </c>
      <c r="B243">
        <v>73</v>
      </c>
      <c r="C243" t="s">
        <v>34</v>
      </c>
      <c r="D243" t="s">
        <v>17</v>
      </c>
      <c r="E243" t="s">
        <v>42</v>
      </c>
      <c r="F243">
        <v>11</v>
      </c>
      <c r="G243">
        <v>2</v>
      </c>
      <c r="H243" t="s">
        <v>16</v>
      </c>
      <c r="I243">
        <v>5</v>
      </c>
      <c r="J243" t="s">
        <v>33</v>
      </c>
      <c r="K243" t="s">
        <v>14</v>
      </c>
      <c r="L243" t="s">
        <v>16</v>
      </c>
    </row>
    <row r="244" spans="1:12" x14ac:dyDescent="0.3">
      <c r="A244">
        <v>2243</v>
      </c>
      <c r="B244">
        <v>88</v>
      </c>
      <c r="C244" t="s">
        <v>34</v>
      </c>
      <c r="D244" t="s">
        <v>17</v>
      </c>
      <c r="E244" t="s">
        <v>53</v>
      </c>
      <c r="F244">
        <v>8</v>
      </c>
      <c r="G244">
        <v>2</v>
      </c>
      <c r="H244" t="s">
        <v>16</v>
      </c>
      <c r="I244">
        <v>11</v>
      </c>
      <c r="J244" t="s">
        <v>33</v>
      </c>
      <c r="K244" t="s">
        <v>16</v>
      </c>
      <c r="L244" t="s">
        <v>14</v>
      </c>
    </row>
    <row r="245" spans="1:12" x14ac:dyDescent="0.3">
      <c r="A245">
        <v>2244</v>
      </c>
      <c r="B245">
        <v>57</v>
      </c>
      <c r="C245" t="s">
        <v>34</v>
      </c>
      <c r="D245" t="s">
        <v>17</v>
      </c>
      <c r="E245" t="s">
        <v>49</v>
      </c>
      <c r="F245">
        <v>13</v>
      </c>
      <c r="G245">
        <v>3</v>
      </c>
      <c r="H245" t="s">
        <v>16</v>
      </c>
      <c r="I245">
        <v>12</v>
      </c>
      <c r="J245" t="s">
        <v>33</v>
      </c>
      <c r="K245" t="s">
        <v>14</v>
      </c>
      <c r="L245" t="s">
        <v>16</v>
      </c>
    </row>
    <row r="246" spans="1:12" x14ac:dyDescent="0.3">
      <c r="A246">
        <v>2245</v>
      </c>
      <c r="B246">
        <v>63</v>
      </c>
      <c r="C246" t="s">
        <v>34</v>
      </c>
      <c r="D246" t="s">
        <v>15</v>
      </c>
      <c r="E246" t="s">
        <v>37</v>
      </c>
      <c r="F246">
        <v>7</v>
      </c>
      <c r="G246">
        <v>1</v>
      </c>
      <c r="H246" t="s">
        <v>16</v>
      </c>
      <c r="I246">
        <v>1</v>
      </c>
      <c r="J246" t="s">
        <v>44</v>
      </c>
      <c r="K246" t="s">
        <v>14</v>
      </c>
      <c r="L246" t="s">
        <v>16</v>
      </c>
    </row>
    <row r="247" spans="1:12" x14ac:dyDescent="0.3">
      <c r="A247">
        <v>2246</v>
      </c>
      <c r="B247">
        <v>76</v>
      </c>
      <c r="C247" t="s">
        <v>38</v>
      </c>
      <c r="D247" t="s">
        <v>15</v>
      </c>
      <c r="E247" t="s">
        <v>39</v>
      </c>
      <c r="F247">
        <v>13</v>
      </c>
      <c r="G247">
        <v>0</v>
      </c>
      <c r="H247" t="s">
        <v>14</v>
      </c>
      <c r="I247">
        <v>1</v>
      </c>
      <c r="J247" t="s">
        <v>33</v>
      </c>
      <c r="K247" t="s">
        <v>16</v>
      </c>
      <c r="L247" t="s">
        <v>14</v>
      </c>
    </row>
    <row r="248" spans="1:12" x14ac:dyDescent="0.3">
      <c r="A248">
        <v>2247</v>
      </c>
      <c r="B248">
        <v>87</v>
      </c>
      <c r="C248" t="s">
        <v>34</v>
      </c>
      <c r="D248" t="s">
        <v>18</v>
      </c>
      <c r="E248" t="s">
        <v>50</v>
      </c>
      <c r="F248">
        <v>11</v>
      </c>
      <c r="G248">
        <v>1</v>
      </c>
      <c r="H248" t="s">
        <v>16</v>
      </c>
      <c r="I248">
        <v>14</v>
      </c>
      <c r="J248" t="s">
        <v>36</v>
      </c>
      <c r="K248" t="s">
        <v>14</v>
      </c>
      <c r="L248" t="s">
        <v>16</v>
      </c>
    </row>
    <row r="249" spans="1:12" x14ac:dyDescent="0.3">
      <c r="A249">
        <v>2248</v>
      </c>
      <c r="B249">
        <v>50</v>
      </c>
      <c r="C249" t="s">
        <v>38</v>
      </c>
      <c r="D249" t="s">
        <v>17</v>
      </c>
      <c r="E249" t="s">
        <v>42</v>
      </c>
      <c r="F249">
        <v>9</v>
      </c>
      <c r="G249">
        <v>2</v>
      </c>
      <c r="H249" t="s">
        <v>16</v>
      </c>
      <c r="I249">
        <v>9</v>
      </c>
      <c r="J249" t="s">
        <v>44</v>
      </c>
      <c r="K249" t="s">
        <v>14</v>
      </c>
      <c r="L249" t="s">
        <v>16</v>
      </c>
    </row>
    <row r="250" spans="1:12" x14ac:dyDescent="0.3">
      <c r="A250">
        <v>2249</v>
      </c>
      <c r="B250">
        <v>69</v>
      </c>
      <c r="C250" t="s">
        <v>38</v>
      </c>
      <c r="D250" t="s">
        <v>19</v>
      </c>
      <c r="E250" t="s">
        <v>45</v>
      </c>
      <c r="F250">
        <v>4</v>
      </c>
      <c r="G250">
        <v>2</v>
      </c>
      <c r="H250" t="s">
        <v>14</v>
      </c>
      <c r="I250">
        <v>2</v>
      </c>
      <c r="J250" t="s">
        <v>48</v>
      </c>
      <c r="K250" t="s">
        <v>14</v>
      </c>
      <c r="L250" t="s">
        <v>16</v>
      </c>
    </row>
    <row r="251" spans="1:12" x14ac:dyDescent="0.3">
      <c r="A251">
        <v>2250</v>
      </c>
      <c r="B251">
        <v>27</v>
      </c>
      <c r="C251" t="s">
        <v>34</v>
      </c>
      <c r="D251" t="s">
        <v>13</v>
      </c>
      <c r="E251" t="s">
        <v>32</v>
      </c>
      <c r="F251">
        <v>14</v>
      </c>
      <c r="G251">
        <v>2</v>
      </c>
      <c r="H251" t="s">
        <v>16</v>
      </c>
      <c r="I251">
        <v>6</v>
      </c>
      <c r="J251" t="s">
        <v>33</v>
      </c>
      <c r="K251" t="s">
        <v>14</v>
      </c>
      <c r="L251" t="s">
        <v>16</v>
      </c>
    </row>
    <row r="252" spans="1:12" x14ac:dyDescent="0.3">
      <c r="A252">
        <v>2251</v>
      </c>
      <c r="B252">
        <v>87</v>
      </c>
      <c r="C252" t="s">
        <v>38</v>
      </c>
      <c r="D252" t="s">
        <v>19</v>
      </c>
      <c r="E252" t="s">
        <v>45</v>
      </c>
      <c r="F252">
        <v>14</v>
      </c>
      <c r="G252">
        <v>1</v>
      </c>
      <c r="H252" t="s">
        <v>16</v>
      </c>
      <c r="I252">
        <v>4</v>
      </c>
      <c r="J252" t="s">
        <v>33</v>
      </c>
      <c r="K252" t="s">
        <v>14</v>
      </c>
      <c r="L252" t="s">
        <v>16</v>
      </c>
    </row>
    <row r="253" spans="1:12" x14ac:dyDescent="0.3">
      <c r="A253">
        <v>2252</v>
      </c>
      <c r="B253">
        <v>88</v>
      </c>
      <c r="C253" t="s">
        <v>38</v>
      </c>
      <c r="D253" t="s">
        <v>19</v>
      </c>
      <c r="E253" t="s">
        <v>45</v>
      </c>
      <c r="F253">
        <v>4</v>
      </c>
      <c r="G253">
        <v>0</v>
      </c>
      <c r="H253" t="s">
        <v>14</v>
      </c>
      <c r="I253">
        <v>2</v>
      </c>
      <c r="J253" t="s">
        <v>44</v>
      </c>
      <c r="K253" t="s">
        <v>14</v>
      </c>
      <c r="L253" t="s">
        <v>16</v>
      </c>
    </row>
    <row r="254" spans="1:12" x14ac:dyDescent="0.3">
      <c r="A254">
        <v>2253</v>
      </c>
      <c r="B254">
        <v>50</v>
      </c>
      <c r="C254" t="s">
        <v>38</v>
      </c>
      <c r="D254" t="s">
        <v>19</v>
      </c>
      <c r="E254" t="s">
        <v>45</v>
      </c>
      <c r="F254">
        <v>8</v>
      </c>
      <c r="G254">
        <v>2</v>
      </c>
      <c r="H254" t="s">
        <v>16</v>
      </c>
      <c r="I254">
        <v>10</v>
      </c>
      <c r="J254" t="s">
        <v>44</v>
      </c>
      <c r="K254" t="s">
        <v>16</v>
      </c>
      <c r="L254" t="s">
        <v>16</v>
      </c>
    </row>
    <row r="255" spans="1:12" x14ac:dyDescent="0.3">
      <c r="A255">
        <v>2254</v>
      </c>
      <c r="B255">
        <v>39</v>
      </c>
      <c r="C255" t="s">
        <v>38</v>
      </c>
      <c r="D255" t="s">
        <v>13</v>
      </c>
      <c r="E255" t="s">
        <v>43</v>
      </c>
      <c r="F255">
        <v>10</v>
      </c>
      <c r="G255">
        <v>1</v>
      </c>
      <c r="H255" t="s">
        <v>16</v>
      </c>
      <c r="I255">
        <v>12</v>
      </c>
      <c r="J255" t="s">
        <v>33</v>
      </c>
      <c r="K255" t="s">
        <v>14</v>
      </c>
      <c r="L255" t="s">
        <v>16</v>
      </c>
    </row>
    <row r="256" spans="1:12" x14ac:dyDescent="0.3">
      <c r="A256">
        <v>2255</v>
      </c>
      <c r="B256">
        <v>87</v>
      </c>
      <c r="C256" t="s">
        <v>34</v>
      </c>
      <c r="D256" t="s">
        <v>13</v>
      </c>
      <c r="E256" t="s">
        <v>43</v>
      </c>
      <c r="F256">
        <v>9</v>
      </c>
      <c r="G256">
        <v>1</v>
      </c>
      <c r="H256" t="s">
        <v>14</v>
      </c>
      <c r="I256">
        <v>12</v>
      </c>
      <c r="J256" t="s">
        <v>44</v>
      </c>
      <c r="K256" t="s">
        <v>16</v>
      </c>
      <c r="L256" t="s">
        <v>14</v>
      </c>
    </row>
    <row r="257" spans="1:12" x14ac:dyDescent="0.3">
      <c r="A257">
        <v>2256</v>
      </c>
      <c r="B257">
        <v>72</v>
      </c>
      <c r="C257" t="s">
        <v>34</v>
      </c>
      <c r="D257" t="s">
        <v>13</v>
      </c>
      <c r="E257" t="s">
        <v>32</v>
      </c>
      <c r="F257">
        <v>10</v>
      </c>
      <c r="G257">
        <v>2</v>
      </c>
      <c r="H257" t="s">
        <v>14</v>
      </c>
      <c r="I257">
        <v>1</v>
      </c>
      <c r="J257" t="s">
        <v>33</v>
      </c>
      <c r="K257" t="s">
        <v>14</v>
      </c>
      <c r="L257" t="s">
        <v>16</v>
      </c>
    </row>
    <row r="258" spans="1:12" x14ac:dyDescent="0.3">
      <c r="A258">
        <v>2257</v>
      </c>
      <c r="B258">
        <v>78</v>
      </c>
      <c r="C258" t="s">
        <v>38</v>
      </c>
      <c r="D258" t="s">
        <v>13</v>
      </c>
      <c r="E258" t="s">
        <v>32</v>
      </c>
      <c r="F258">
        <v>4</v>
      </c>
      <c r="G258">
        <v>1</v>
      </c>
      <c r="H258" t="s">
        <v>16</v>
      </c>
      <c r="I258">
        <v>5</v>
      </c>
      <c r="J258" t="s">
        <v>33</v>
      </c>
      <c r="K258" t="s">
        <v>14</v>
      </c>
      <c r="L258" t="s">
        <v>16</v>
      </c>
    </row>
    <row r="259" spans="1:12" x14ac:dyDescent="0.3">
      <c r="A259">
        <v>2258</v>
      </c>
      <c r="B259">
        <v>21</v>
      </c>
      <c r="C259" t="s">
        <v>38</v>
      </c>
      <c r="D259" t="s">
        <v>19</v>
      </c>
      <c r="E259" t="s">
        <v>45</v>
      </c>
      <c r="F259">
        <v>6</v>
      </c>
      <c r="G259">
        <v>2</v>
      </c>
      <c r="H259" t="s">
        <v>14</v>
      </c>
      <c r="I259">
        <v>9</v>
      </c>
      <c r="J259" t="s">
        <v>44</v>
      </c>
      <c r="K259" t="s">
        <v>16</v>
      </c>
      <c r="L259" t="s">
        <v>14</v>
      </c>
    </row>
    <row r="260" spans="1:12" x14ac:dyDescent="0.3">
      <c r="A260">
        <v>2259</v>
      </c>
      <c r="B260">
        <v>76</v>
      </c>
      <c r="C260" t="s">
        <v>34</v>
      </c>
      <c r="D260" t="s">
        <v>13</v>
      </c>
      <c r="E260" t="s">
        <v>43</v>
      </c>
      <c r="F260">
        <v>7</v>
      </c>
      <c r="G260">
        <v>1</v>
      </c>
      <c r="H260" t="s">
        <v>16</v>
      </c>
      <c r="I260">
        <v>9</v>
      </c>
      <c r="J260" t="s">
        <v>33</v>
      </c>
      <c r="K260" t="s">
        <v>14</v>
      </c>
      <c r="L260" t="s">
        <v>16</v>
      </c>
    </row>
    <row r="261" spans="1:12" x14ac:dyDescent="0.3">
      <c r="A261">
        <v>2260</v>
      </c>
      <c r="B261">
        <v>53</v>
      </c>
      <c r="C261" t="s">
        <v>38</v>
      </c>
      <c r="D261" t="s">
        <v>17</v>
      </c>
      <c r="E261" t="s">
        <v>49</v>
      </c>
      <c r="F261">
        <v>1</v>
      </c>
      <c r="G261">
        <v>0</v>
      </c>
      <c r="H261" t="s">
        <v>14</v>
      </c>
      <c r="I261">
        <v>11</v>
      </c>
      <c r="J261" t="s">
        <v>33</v>
      </c>
      <c r="K261" t="s">
        <v>16</v>
      </c>
      <c r="L261" t="s">
        <v>16</v>
      </c>
    </row>
    <row r="262" spans="1:12" x14ac:dyDescent="0.3">
      <c r="A262">
        <v>2261</v>
      </c>
      <c r="B262">
        <v>49</v>
      </c>
      <c r="C262" t="s">
        <v>38</v>
      </c>
      <c r="D262" t="s">
        <v>18</v>
      </c>
      <c r="E262" t="s">
        <v>50</v>
      </c>
      <c r="F262">
        <v>14</v>
      </c>
      <c r="G262">
        <v>2</v>
      </c>
      <c r="H262" t="s">
        <v>16</v>
      </c>
      <c r="I262">
        <v>12</v>
      </c>
      <c r="J262" t="s">
        <v>48</v>
      </c>
      <c r="K262" t="s">
        <v>14</v>
      </c>
      <c r="L262" t="s">
        <v>16</v>
      </c>
    </row>
    <row r="263" spans="1:12" x14ac:dyDescent="0.3">
      <c r="A263">
        <v>2262</v>
      </c>
      <c r="B263">
        <v>32</v>
      </c>
      <c r="C263" t="s">
        <v>38</v>
      </c>
      <c r="D263" t="s">
        <v>18</v>
      </c>
      <c r="E263" t="s">
        <v>50</v>
      </c>
      <c r="F263">
        <v>13</v>
      </c>
      <c r="G263">
        <v>0</v>
      </c>
      <c r="H263" t="s">
        <v>16</v>
      </c>
      <c r="I263">
        <v>3</v>
      </c>
      <c r="J263" t="s">
        <v>33</v>
      </c>
      <c r="K263" t="s">
        <v>16</v>
      </c>
      <c r="L263" t="s">
        <v>16</v>
      </c>
    </row>
    <row r="264" spans="1:12" x14ac:dyDescent="0.3">
      <c r="A264">
        <v>2263</v>
      </c>
      <c r="B264">
        <v>84</v>
      </c>
      <c r="C264" t="s">
        <v>38</v>
      </c>
      <c r="D264" t="s">
        <v>15</v>
      </c>
      <c r="E264" t="s">
        <v>37</v>
      </c>
      <c r="F264">
        <v>12</v>
      </c>
      <c r="G264">
        <v>1</v>
      </c>
      <c r="H264" t="s">
        <v>14</v>
      </c>
      <c r="I264">
        <v>2</v>
      </c>
      <c r="J264" t="s">
        <v>33</v>
      </c>
      <c r="K264" t="s">
        <v>14</v>
      </c>
      <c r="L264" t="s">
        <v>16</v>
      </c>
    </row>
    <row r="265" spans="1:12" x14ac:dyDescent="0.3">
      <c r="A265">
        <v>2264</v>
      </c>
      <c r="B265">
        <v>71</v>
      </c>
      <c r="C265" t="s">
        <v>34</v>
      </c>
      <c r="D265" t="s">
        <v>18</v>
      </c>
      <c r="E265" t="s">
        <v>51</v>
      </c>
      <c r="F265">
        <v>4</v>
      </c>
      <c r="G265">
        <v>2</v>
      </c>
      <c r="H265" t="s">
        <v>14</v>
      </c>
      <c r="I265">
        <v>7</v>
      </c>
      <c r="J265" t="s">
        <v>36</v>
      </c>
      <c r="K265" t="s">
        <v>14</v>
      </c>
      <c r="L265" t="s">
        <v>14</v>
      </c>
    </row>
    <row r="266" spans="1:12" x14ac:dyDescent="0.3">
      <c r="A266">
        <v>2265</v>
      </c>
      <c r="B266">
        <v>34</v>
      </c>
      <c r="C266" t="s">
        <v>34</v>
      </c>
      <c r="D266" t="s">
        <v>18</v>
      </c>
      <c r="E266" t="s">
        <v>51</v>
      </c>
      <c r="F266">
        <v>14</v>
      </c>
      <c r="G266">
        <v>3</v>
      </c>
      <c r="H266" t="s">
        <v>16</v>
      </c>
      <c r="I266">
        <v>1</v>
      </c>
      <c r="J266" t="s">
        <v>48</v>
      </c>
      <c r="K266" t="s">
        <v>16</v>
      </c>
      <c r="L266" t="s">
        <v>14</v>
      </c>
    </row>
    <row r="267" spans="1:12" x14ac:dyDescent="0.3">
      <c r="A267">
        <v>2266</v>
      </c>
      <c r="B267">
        <v>62</v>
      </c>
      <c r="C267" t="s">
        <v>34</v>
      </c>
      <c r="D267" t="s">
        <v>15</v>
      </c>
      <c r="E267" t="s">
        <v>37</v>
      </c>
      <c r="F267">
        <v>6</v>
      </c>
      <c r="G267">
        <v>1</v>
      </c>
      <c r="H267" t="s">
        <v>16</v>
      </c>
      <c r="I267">
        <v>9</v>
      </c>
      <c r="J267" t="s">
        <v>44</v>
      </c>
      <c r="K267" t="s">
        <v>16</v>
      </c>
      <c r="L267" t="s">
        <v>16</v>
      </c>
    </row>
    <row r="268" spans="1:12" x14ac:dyDescent="0.3">
      <c r="A268">
        <v>2267</v>
      </c>
      <c r="B268">
        <v>89</v>
      </c>
      <c r="C268" t="s">
        <v>34</v>
      </c>
      <c r="D268" t="s">
        <v>15</v>
      </c>
      <c r="E268" t="s">
        <v>39</v>
      </c>
      <c r="F268">
        <v>6</v>
      </c>
      <c r="G268">
        <v>1</v>
      </c>
      <c r="H268" t="s">
        <v>16</v>
      </c>
      <c r="I268">
        <v>13</v>
      </c>
      <c r="J268" t="s">
        <v>33</v>
      </c>
      <c r="K268" t="s">
        <v>16</v>
      </c>
      <c r="L268" t="s">
        <v>16</v>
      </c>
    </row>
    <row r="269" spans="1:12" x14ac:dyDescent="0.3">
      <c r="A269">
        <v>2268</v>
      </c>
      <c r="B269">
        <v>42</v>
      </c>
      <c r="C269" t="s">
        <v>38</v>
      </c>
      <c r="D269" t="s">
        <v>18</v>
      </c>
      <c r="E269" t="s">
        <v>52</v>
      </c>
      <c r="F269">
        <v>9</v>
      </c>
      <c r="G269">
        <v>0</v>
      </c>
      <c r="H269" t="s">
        <v>14</v>
      </c>
      <c r="I269">
        <v>12</v>
      </c>
      <c r="J269" t="s">
        <v>36</v>
      </c>
      <c r="K269" t="s">
        <v>14</v>
      </c>
      <c r="L269" t="s">
        <v>16</v>
      </c>
    </row>
    <row r="270" spans="1:12" x14ac:dyDescent="0.3">
      <c r="A270">
        <v>2269</v>
      </c>
      <c r="B270">
        <v>80</v>
      </c>
      <c r="C270" t="s">
        <v>38</v>
      </c>
      <c r="D270" t="s">
        <v>15</v>
      </c>
      <c r="E270" t="s">
        <v>40</v>
      </c>
      <c r="F270">
        <v>13</v>
      </c>
      <c r="G270">
        <v>0</v>
      </c>
      <c r="H270" t="s">
        <v>16</v>
      </c>
      <c r="I270">
        <v>9</v>
      </c>
      <c r="J270" t="s">
        <v>44</v>
      </c>
      <c r="K270" t="s">
        <v>14</v>
      </c>
      <c r="L270" t="s">
        <v>16</v>
      </c>
    </row>
    <row r="271" spans="1:12" x14ac:dyDescent="0.3">
      <c r="A271">
        <v>2270</v>
      </c>
      <c r="B271">
        <v>85</v>
      </c>
      <c r="C271" t="s">
        <v>34</v>
      </c>
      <c r="D271" t="s">
        <v>18</v>
      </c>
      <c r="E271" t="s">
        <v>52</v>
      </c>
      <c r="F271">
        <v>7</v>
      </c>
      <c r="G271">
        <v>0</v>
      </c>
      <c r="H271" t="s">
        <v>14</v>
      </c>
      <c r="I271">
        <v>12</v>
      </c>
      <c r="J271" t="s">
        <v>33</v>
      </c>
      <c r="K271" t="s">
        <v>16</v>
      </c>
      <c r="L271" t="s">
        <v>14</v>
      </c>
    </row>
    <row r="272" spans="1:12" x14ac:dyDescent="0.3">
      <c r="A272">
        <v>2271</v>
      </c>
      <c r="B272">
        <v>80</v>
      </c>
      <c r="C272" t="s">
        <v>38</v>
      </c>
      <c r="D272" t="s">
        <v>19</v>
      </c>
      <c r="E272" t="s">
        <v>41</v>
      </c>
      <c r="F272">
        <v>4</v>
      </c>
      <c r="G272">
        <v>1</v>
      </c>
      <c r="H272" t="s">
        <v>16</v>
      </c>
      <c r="I272">
        <v>1</v>
      </c>
      <c r="J272" t="s">
        <v>44</v>
      </c>
      <c r="K272" t="s">
        <v>16</v>
      </c>
      <c r="L272" t="s">
        <v>16</v>
      </c>
    </row>
    <row r="273" spans="1:12" x14ac:dyDescent="0.3">
      <c r="A273">
        <v>2272</v>
      </c>
      <c r="B273">
        <v>74</v>
      </c>
      <c r="C273" t="s">
        <v>34</v>
      </c>
      <c r="D273" t="s">
        <v>15</v>
      </c>
      <c r="E273" t="s">
        <v>39</v>
      </c>
      <c r="F273">
        <v>9</v>
      </c>
      <c r="G273">
        <v>3</v>
      </c>
      <c r="H273" t="s">
        <v>16</v>
      </c>
      <c r="I273">
        <v>4</v>
      </c>
      <c r="J273" t="s">
        <v>44</v>
      </c>
      <c r="K273" t="s">
        <v>14</v>
      </c>
      <c r="L273" t="s">
        <v>16</v>
      </c>
    </row>
    <row r="274" spans="1:12" x14ac:dyDescent="0.3">
      <c r="A274">
        <v>2273</v>
      </c>
      <c r="B274">
        <v>32</v>
      </c>
      <c r="C274" t="s">
        <v>38</v>
      </c>
      <c r="D274" t="s">
        <v>15</v>
      </c>
      <c r="E274" t="s">
        <v>37</v>
      </c>
      <c r="F274">
        <v>11</v>
      </c>
      <c r="G274">
        <v>0</v>
      </c>
      <c r="H274" t="s">
        <v>14</v>
      </c>
      <c r="I274">
        <v>7</v>
      </c>
      <c r="J274" t="s">
        <v>48</v>
      </c>
      <c r="K274" t="s">
        <v>14</v>
      </c>
      <c r="L274" t="s">
        <v>16</v>
      </c>
    </row>
    <row r="275" spans="1:12" x14ac:dyDescent="0.3">
      <c r="A275">
        <v>2274</v>
      </c>
      <c r="B275">
        <v>38</v>
      </c>
      <c r="C275" t="s">
        <v>38</v>
      </c>
      <c r="D275" t="s">
        <v>19</v>
      </c>
      <c r="E275" t="s">
        <v>46</v>
      </c>
      <c r="F275">
        <v>2</v>
      </c>
      <c r="G275">
        <v>2</v>
      </c>
      <c r="H275" t="s">
        <v>14</v>
      </c>
      <c r="I275">
        <v>9</v>
      </c>
      <c r="J275" t="s">
        <v>33</v>
      </c>
      <c r="K275" t="s">
        <v>16</v>
      </c>
      <c r="L275" t="s">
        <v>16</v>
      </c>
    </row>
    <row r="276" spans="1:12" x14ac:dyDescent="0.3">
      <c r="A276">
        <v>2275</v>
      </c>
      <c r="B276">
        <v>53</v>
      </c>
      <c r="C276" t="s">
        <v>34</v>
      </c>
      <c r="D276" t="s">
        <v>15</v>
      </c>
      <c r="E276" t="s">
        <v>39</v>
      </c>
      <c r="F276">
        <v>12</v>
      </c>
      <c r="G276">
        <v>3</v>
      </c>
      <c r="H276" t="s">
        <v>14</v>
      </c>
      <c r="I276">
        <v>7</v>
      </c>
      <c r="J276" t="s">
        <v>33</v>
      </c>
      <c r="K276" t="s">
        <v>14</v>
      </c>
      <c r="L276" t="s">
        <v>16</v>
      </c>
    </row>
    <row r="277" spans="1:12" x14ac:dyDescent="0.3">
      <c r="A277">
        <v>2276</v>
      </c>
      <c r="B277">
        <v>64</v>
      </c>
      <c r="C277" t="s">
        <v>38</v>
      </c>
      <c r="D277" t="s">
        <v>15</v>
      </c>
      <c r="E277" t="s">
        <v>39</v>
      </c>
      <c r="F277">
        <v>12</v>
      </c>
      <c r="G277">
        <v>1</v>
      </c>
      <c r="H277" t="s">
        <v>14</v>
      </c>
      <c r="I277">
        <v>3</v>
      </c>
      <c r="J277" t="s">
        <v>36</v>
      </c>
      <c r="K277" t="s">
        <v>16</v>
      </c>
      <c r="L277" t="s">
        <v>16</v>
      </c>
    </row>
    <row r="278" spans="1:12" x14ac:dyDescent="0.3">
      <c r="A278">
        <v>2277</v>
      </c>
      <c r="B278">
        <v>33</v>
      </c>
      <c r="C278" t="s">
        <v>34</v>
      </c>
      <c r="D278" t="s">
        <v>15</v>
      </c>
      <c r="E278" t="s">
        <v>39</v>
      </c>
      <c r="F278">
        <v>12</v>
      </c>
      <c r="G278">
        <v>0</v>
      </c>
      <c r="H278" t="s">
        <v>16</v>
      </c>
      <c r="I278">
        <v>12</v>
      </c>
      <c r="J278" t="s">
        <v>36</v>
      </c>
      <c r="K278" t="s">
        <v>14</v>
      </c>
      <c r="L278" t="s">
        <v>16</v>
      </c>
    </row>
    <row r="279" spans="1:12" x14ac:dyDescent="0.3">
      <c r="A279">
        <v>2278</v>
      </c>
      <c r="B279">
        <v>25</v>
      </c>
      <c r="C279" t="s">
        <v>38</v>
      </c>
      <c r="D279" t="s">
        <v>13</v>
      </c>
      <c r="E279" t="s">
        <v>43</v>
      </c>
      <c r="F279">
        <v>9</v>
      </c>
      <c r="G279">
        <v>0</v>
      </c>
      <c r="H279" t="s">
        <v>14</v>
      </c>
      <c r="I279">
        <v>12</v>
      </c>
      <c r="J279" t="s">
        <v>44</v>
      </c>
      <c r="K279" t="s">
        <v>14</v>
      </c>
      <c r="L279" t="s">
        <v>16</v>
      </c>
    </row>
    <row r="280" spans="1:12" x14ac:dyDescent="0.3">
      <c r="A280">
        <v>2279</v>
      </c>
      <c r="B280">
        <v>54</v>
      </c>
      <c r="C280" t="s">
        <v>38</v>
      </c>
      <c r="D280" t="s">
        <v>13</v>
      </c>
      <c r="E280" t="s">
        <v>43</v>
      </c>
      <c r="F280">
        <v>12</v>
      </c>
      <c r="G280">
        <v>1</v>
      </c>
      <c r="H280" t="s">
        <v>14</v>
      </c>
      <c r="I280">
        <v>9</v>
      </c>
      <c r="J280" t="s">
        <v>48</v>
      </c>
      <c r="K280" t="s">
        <v>16</v>
      </c>
      <c r="L280" t="s">
        <v>14</v>
      </c>
    </row>
    <row r="281" spans="1:12" x14ac:dyDescent="0.3">
      <c r="A281">
        <v>2280</v>
      </c>
      <c r="B281">
        <v>76</v>
      </c>
      <c r="C281" t="s">
        <v>34</v>
      </c>
      <c r="D281" t="s">
        <v>18</v>
      </c>
      <c r="E281" t="s">
        <v>52</v>
      </c>
      <c r="F281">
        <v>5</v>
      </c>
      <c r="G281">
        <v>1</v>
      </c>
      <c r="H281" t="s">
        <v>16</v>
      </c>
      <c r="I281">
        <v>1</v>
      </c>
      <c r="J281" t="s">
        <v>44</v>
      </c>
      <c r="K281" t="s">
        <v>16</v>
      </c>
      <c r="L281" t="s">
        <v>16</v>
      </c>
    </row>
    <row r="282" spans="1:12" x14ac:dyDescent="0.3">
      <c r="A282">
        <v>2281</v>
      </c>
      <c r="B282">
        <v>89</v>
      </c>
      <c r="C282" t="s">
        <v>34</v>
      </c>
      <c r="D282" t="s">
        <v>19</v>
      </c>
      <c r="E282" t="s">
        <v>45</v>
      </c>
      <c r="F282">
        <v>13</v>
      </c>
      <c r="G282">
        <v>4</v>
      </c>
      <c r="H282" t="s">
        <v>16</v>
      </c>
      <c r="I282">
        <v>13</v>
      </c>
      <c r="J282" t="s">
        <v>33</v>
      </c>
      <c r="K282" t="s">
        <v>14</v>
      </c>
      <c r="L282" t="s">
        <v>16</v>
      </c>
    </row>
    <row r="283" spans="1:12" x14ac:dyDescent="0.3">
      <c r="A283">
        <v>2282</v>
      </c>
      <c r="B283">
        <v>86</v>
      </c>
      <c r="C283" t="s">
        <v>34</v>
      </c>
      <c r="D283" t="s">
        <v>15</v>
      </c>
      <c r="E283" t="s">
        <v>39</v>
      </c>
      <c r="F283">
        <v>13</v>
      </c>
      <c r="G283">
        <v>3</v>
      </c>
      <c r="H283" t="s">
        <v>14</v>
      </c>
      <c r="I283">
        <v>10</v>
      </c>
      <c r="J283" t="s">
        <v>33</v>
      </c>
      <c r="K283" t="s">
        <v>14</v>
      </c>
      <c r="L283" t="s">
        <v>14</v>
      </c>
    </row>
    <row r="284" spans="1:12" x14ac:dyDescent="0.3">
      <c r="A284">
        <v>2283</v>
      </c>
      <c r="B284">
        <v>84</v>
      </c>
      <c r="C284" t="s">
        <v>38</v>
      </c>
      <c r="D284" t="s">
        <v>18</v>
      </c>
      <c r="E284" t="s">
        <v>52</v>
      </c>
      <c r="F284">
        <v>14</v>
      </c>
      <c r="G284">
        <v>0</v>
      </c>
      <c r="H284" t="s">
        <v>16</v>
      </c>
      <c r="I284">
        <v>13</v>
      </c>
      <c r="J284" t="s">
        <v>33</v>
      </c>
      <c r="K284" t="s">
        <v>16</v>
      </c>
      <c r="L284" t="s">
        <v>16</v>
      </c>
    </row>
    <row r="285" spans="1:12" x14ac:dyDescent="0.3">
      <c r="A285">
        <v>2284</v>
      </c>
      <c r="B285">
        <v>54</v>
      </c>
      <c r="C285" t="s">
        <v>34</v>
      </c>
      <c r="D285" t="s">
        <v>18</v>
      </c>
      <c r="E285" t="s">
        <v>52</v>
      </c>
      <c r="F285">
        <v>5</v>
      </c>
      <c r="G285">
        <v>1</v>
      </c>
      <c r="H285" t="s">
        <v>16</v>
      </c>
      <c r="I285">
        <v>3</v>
      </c>
      <c r="J285" t="s">
        <v>33</v>
      </c>
      <c r="K285" t="s">
        <v>16</v>
      </c>
      <c r="L285" t="s">
        <v>16</v>
      </c>
    </row>
    <row r="286" spans="1:12" x14ac:dyDescent="0.3">
      <c r="A286">
        <v>2285</v>
      </c>
      <c r="B286">
        <v>55</v>
      </c>
      <c r="C286" t="s">
        <v>38</v>
      </c>
      <c r="D286" t="s">
        <v>13</v>
      </c>
      <c r="E286" t="s">
        <v>35</v>
      </c>
      <c r="F286">
        <v>9</v>
      </c>
      <c r="G286">
        <v>2</v>
      </c>
      <c r="H286" t="s">
        <v>16</v>
      </c>
      <c r="I286">
        <v>1</v>
      </c>
      <c r="J286" t="s">
        <v>33</v>
      </c>
      <c r="K286" t="s">
        <v>16</v>
      </c>
      <c r="L286" t="s">
        <v>16</v>
      </c>
    </row>
    <row r="287" spans="1:12" x14ac:dyDescent="0.3">
      <c r="A287">
        <v>2286</v>
      </c>
      <c r="B287">
        <v>36</v>
      </c>
      <c r="C287" t="s">
        <v>38</v>
      </c>
      <c r="D287" t="s">
        <v>13</v>
      </c>
      <c r="E287" t="s">
        <v>32</v>
      </c>
      <c r="F287">
        <v>6</v>
      </c>
      <c r="G287">
        <v>3</v>
      </c>
      <c r="H287" t="s">
        <v>16</v>
      </c>
      <c r="I287">
        <v>11</v>
      </c>
      <c r="J287" t="s">
        <v>33</v>
      </c>
      <c r="K287" t="s">
        <v>16</v>
      </c>
      <c r="L287" t="s">
        <v>16</v>
      </c>
    </row>
    <row r="288" spans="1:12" x14ac:dyDescent="0.3">
      <c r="A288">
        <v>2287</v>
      </c>
      <c r="B288">
        <v>41</v>
      </c>
      <c r="C288" t="s">
        <v>38</v>
      </c>
      <c r="D288" t="s">
        <v>13</v>
      </c>
      <c r="E288" t="s">
        <v>43</v>
      </c>
      <c r="F288">
        <v>11</v>
      </c>
      <c r="G288">
        <v>1</v>
      </c>
      <c r="H288" t="s">
        <v>16</v>
      </c>
      <c r="I288">
        <v>6</v>
      </c>
      <c r="J288" t="s">
        <v>48</v>
      </c>
      <c r="K288" t="s">
        <v>14</v>
      </c>
      <c r="L288" t="s">
        <v>16</v>
      </c>
    </row>
    <row r="289" spans="1:12" x14ac:dyDescent="0.3">
      <c r="A289">
        <v>2288</v>
      </c>
      <c r="B289">
        <v>28</v>
      </c>
      <c r="C289" t="s">
        <v>34</v>
      </c>
      <c r="D289" t="s">
        <v>17</v>
      </c>
      <c r="E289" t="s">
        <v>53</v>
      </c>
      <c r="F289">
        <v>2</v>
      </c>
      <c r="G289">
        <v>2</v>
      </c>
      <c r="H289" t="s">
        <v>14</v>
      </c>
      <c r="I289">
        <v>12</v>
      </c>
      <c r="J289" t="s">
        <v>44</v>
      </c>
      <c r="K289" t="s">
        <v>14</v>
      </c>
      <c r="L289" t="s">
        <v>16</v>
      </c>
    </row>
    <row r="290" spans="1:12" x14ac:dyDescent="0.3">
      <c r="A290">
        <v>2289</v>
      </c>
      <c r="B290">
        <v>29</v>
      </c>
      <c r="C290" t="s">
        <v>38</v>
      </c>
      <c r="D290" t="s">
        <v>19</v>
      </c>
      <c r="E290" t="s">
        <v>45</v>
      </c>
      <c r="F290">
        <v>11</v>
      </c>
      <c r="G290">
        <v>0</v>
      </c>
      <c r="H290" t="s">
        <v>16</v>
      </c>
      <c r="I290">
        <v>3</v>
      </c>
      <c r="J290" t="s">
        <v>48</v>
      </c>
      <c r="K290" t="s">
        <v>14</v>
      </c>
      <c r="L290" t="s">
        <v>16</v>
      </c>
    </row>
    <row r="291" spans="1:12" x14ac:dyDescent="0.3">
      <c r="A291">
        <v>2290</v>
      </c>
      <c r="B291">
        <v>46</v>
      </c>
      <c r="C291" t="s">
        <v>34</v>
      </c>
      <c r="D291" t="s">
        <v>19</v>
      </c>
      <c r="E291" t="s">
        <v>41</v>
      </c>
      <c r="F291">
        <v>6</v>
      </c>
      <c r="G291">
        <v>0</v>
      </c>
      <c r="H291" t="s">
        <v>16</v>
      </c>
      <c r="I291">
        <v>5</v>
      </c>
      <c r="J291" t="s">
        <v>44</v>
      </c>
      <c r="K291" t="s">
        <v>16</v>
      </c>
      <c r="L291" t="s">
        <v>16</v>
      </c>
    </row>
    <row r="292" spans="1:12" x14ac:dyDescent="0.3">
      <c r="A292">
        <v>2291</v>
      </c>
      <c r="B292">
        <v>32</v>
      </c>
      <c r="C292" t="s">
        <v>38</v>
      </c>
      <c r="D292" t="s">
        <v>15</v>
      </c>
      <c r="E292" t="s">
        <v>40</v>
      </c>
      <c r="F292">
        <v>11</v>
      </c>
      <c r="G292">
        <v>1</v>
      </c>
      <c r="H292" t="s">
        <v>16</v>
      </c>
      <c r="I292">
        <v>11</v>
      </c>
      <c r="J292" t="s">
        <v>44</v>
      </c>
      <c r="K292" t="s">
        <v>14</v>
      </c>
      <c r="L292" t="s">
        <v>16</v>
      </c>
    </row>
    <row r="293" spans="1:12" x14ac:dyDescent="0.3">
      <c r="A293">
        <v>2292</v>
      </c>
      <c r="B293">
        <v>41</v>
      </c>
      <c r="C293" t="s">
        <v>34</v>
      </c>
      <c r="D293" t="s">
        <v>18</v>
      </c>
      <c r="E293" t="s">
        <v>50</v>
      </c>
      <c r="F293">
        <v>10</v>
      </c>
      <c r="G293">
        <v>1</v>
      </c>
      <c r="H293" t="s">
        <v>16</v>
      </c>
      <c r="I293">
        <v>4</v>
      </c>
      <c r="J293" t="s">
        <v>33</v>
      </c>
      <c r="K293" t="s">
        <v>14</v>
      </c>
      <c r="L293" t="s">
        <v>16</v>
      </c>
    </row>
    <row r="294" spans="1:12" x14ac:dyDescent="0.3">
      <c r="A294">
        <v>2293</v>
      </c>
      <c r="B294">
        <v>76</v>
      </c>
      <c r="C294" t="s">
        <v>34</v>
      </c>
      <c r="D294" t="s">
        <v>18</v>
      </c>
      <c r="E294" t="s">
        <v>52</v>
      </c>
      <c r="F294">
        <v>8</v>
      </c>
      <c r="G294">
        <v>0</v>
      </c>
      <c r="H294" t="s">
        <v>16</v>
      </c>
      <c r="I294">
        <v>1</v>
      </c>
      <c r="J294" t="s">
        <v>33</v>
      </c>
      <c r="K294" t="s">
        <v>14</v>
      </c>
      <c r="L294" t="s">
        <v>16</v>
      </c>
    </row>
    <row r="295" spans="1:12" x14ac:dyDescent="0.3">
      <c r="A295">
        <v>2294</v>
      </c>
      <c r="B295">
        <v>36</v>
      </c>
      <c r="C295" t="s">
        <v>38</v>
      </c>
      <c r="D295" t="s">
        <v>18</v>
      </c>
      <c r="E295" t="s">
        <v>50</v>
      </c>
      <c r="F295">
        <v>7</v>
      </c>
      <c r="G295">
        <v>2</v>
      </c>
      <c r="H295" t="s">
        <v>16</v>
      </c>
      <c r="I295">
        <v>4</v>
      </c>
      <c r="J295" t="s">
        <v>33</v>
      </c>
      <c r="K295" t="s">
        <v>16</v>
      </c>
      <c r="L295" t="s">
        <v>16</v>
      </c>
    </row>
    <row r="296" spans="1:12" x14ac:dyDescent="0.3">
      <c r="A296">
        <v>2295</v>
      </c>
      <c r="B296">
        <v>28</v>
      </c>
      <c r="C296" t="s">
        <v>34</v>
      </c>
      <c r="D296" t="s">
        <v>17</v>
      </c>
      <c r="E296" t="s">
        <v>42</v>
      </c>
      <c r="F296">
        <v>4</v>
      </c>
      <c r="G296">
        <v>0</v>
      </c>
      <c r="H296" t="s">
        <v>14</v>
      </c>
      <c r="I296">
        <v>9</v>
      </c>
      <c r="J296" t="s">
        <v>33</v>
      </c>
      <c r="K296" t="s">
        <v>14</v>
      </c>
      <c r="L296" t="s">
        <v>16</v>
      </c>
    </row>
    <row r="297" spans="1:12" x14ac:dyDescent="0.3">
      <c r="A297">
        <v>2296</v>
      </c>
      <c r="B297">
        <v>86</v>
      </c>
      <c r="C297" t="s">
        <v>34</v>
      </c>
      <c r="D297" t="s">
        <v>13</v>
      </c>
      <c r="E297" t="s">
        <v>35</v>
      </c>
      <c r="F297">
        <v>11</v>
      </c>
      <c r="G297">
        <v>0</v>
      </c>
      <c r="H297" t="s">
        <v>16</v>
      </c>
      <c r="I297">
        <v>2</v>
      </c>
      <c r="J297" t="s">
        <v>48</v>
      </c>
      <c r="K297" t="s">
        <v>14</v>
      </c>
      <c r="L297" t="s">
        <v>16</v>
      </c>
    </row>
    <row r="298" spans="1:12" x14ac:dyDescent="0.3">
      <c r="A298">
        <v>2297</v>
      </c>
      <c r="B298">
        <v>28</v>
      </c>
      <c r="C298" t="s">
        <v>38</v>
      </c>
      <c r="D298" t="s">
        <v>13</v>
      </c>
      <c r="E298" t="s">
        <v>35</v>
      </c>
      <c r="F298">
        <v>7</v>
      </c>
      <c r="G298">
        <v>2</v>
      </c>
      <c r="H298" t="s">
        <v>16</v>
      </c>
      <c r="I298">
        <v>6</v>
      </c>
      <c r="J298" t="s">
        <v>33</v>
      </c>
      <c r="K298" t="s">
        <v>14</v>
      </c>
      <c r="L298" t="s">
        <v>16</v>
      </c>
    </row>
    <row r="299" spans="1:12" x14ac:dyDescent="0.3">
      <c r="A299">
        <v>2298</v>
      </c>
      <c r="B299">
        <v>31</v>
      </c>
      <c r="C299" t="s">
        <v>34</v>
      </c>
      <c r="D299" t="s">
        <v>13</v>
      </c>
      <c r="E299" t="s">
        <v>32</v>
      </c>
      <c r="F299">
        <v>7</v>
      </c>
      <c r="G299">
        <v>2</v>
      </c>
      <c r="H299" t="s">
        <v>14</v>
      </c>
      <c r="I299">
        <v>8</v>
      </c>
      <c r="J299" t="s">
        <v>33</v>
      </c>
      <c r="K299" t="s">
        <v>14</v>
      </c>
      <c r="L299" t="s">
        <v>16</v>
      </c>
    </row>
    <row r="300" spans="1:12" x14ac:dyDescent="0.3">
      <c r="A300">
        <v>2299</v>
      </c>
      <c r="B300">
        <v>85</v>
      </c>
      <c r="C300" t="s">
        <v>34</v>
      </c>
      <c r="D300" t="s">
        <v>15</v>
      </c>
      <c r="E300" t="s">
        <v>39</v>
      </c>
      <c r="F300">
        <v>14</v>
      </c>
      <c r="G300">
        <v>3</v>
      </c>
      <c r="H300" t="s">
        <v>16</v>
      </c>
      <c r="I300">
        <v>6</v>
      </c>
      <c r="J300" t="s">
        <v>36</v>
      </c>
      <c r="K300" t="s">
        <v>14</v>
      </c>
      <c r="L300" t="s">
        <v>16</v>
      </c>
    </row>
    <row r="301" spans="1:12" x14ac:dyDescent="0.3">
      <c r="A301">
        <v>2300</v>
      </c>
      <c r="B301">
        <v>60</v>
      </c>
      <c r="C301" t="s">
        <v>38</v>
      </c>
      <c r="D301" t="s">
        <v>18</v>
      </c>
      <c r="E301" t="s">
        <v>51</v>
      </c>
      <c r="F301">
        <v>2</v>
      </c>
      <c r="G301">
        <v>2</v>
      </c>
      <c r="H301" t="s">
        <v>14</v>
      </c>
      <c r="I301">
        <v>7</v>
      </c>
      <c r="J301" t="s">
        <v>48</v>
      </c>
      <c r="K301" t="s">
        <v>14</v>
      </c>
      <c r="L301" t="s">
        <v>16</v>
      </c>
    </row>
    <row r="302" spans="1:12" x14ac:dyDescent="0.3">
      <c r="A302">
        <v>2301</v>
      </c>
      <c r="B302">
        <v>35</v>
      </c>
      <c r="C302" t="s">
        <v>34</v>
      </c>
      <c r="D302" t="s">
        <v>18</v>
      </c>
      <c r="E302" t="s">
        <v>51</v>
      </c>
      <c r="F302">
        <v>1</v>
      </c>
      <c r="G302">
        <v>3</v>
      </c>
      <c r="H302" t="s">
        <v>16</v>
      </c>
      <c r="I302">
        <v>8</v>
      </c>
      <c r="J302" t="s">
        <v>36</v>
      </c>
      <c r="K302" t="s">
        <v>14</v>
      </c>
      <c r="L302" t="s">
        <v>16</v>
      </c>
    </row>
    <row r="303" spans="1:12" x14ac:dyDescent="0.3">
      <c r="A303">
        <v>2302</v>
      </c>
      <c r="B303">
        <v>45</v>
      </c>
      <c r="C303" t="s">
        <v>38</v>
      </c>
      <c r="D303" t="s">
        <v>13</v>
      </c>
      <c r="E303" t="s">
        <v>32</v>
      </c>
      <c r="F303">
        <v>9</v>
      </c>
      <c r="G303">
        <v>0</v>
      </c>
      <c r="H303" t="s">
        <v>16</v>
      </c>
      <c r="I303">
        <v>14</v>
      </c>
      <c r="J303" t="s">
        <v>33</v>
      </c>
      <c r="K303" t="s">
        <v>14</v>
      </c>
      <c r="L303" t="s">
        <v>16</v>
      </c>
    </row>
    <row r="304" spans="1:12" x14ac:dyDescent="0.3">
      <c r="A304">
        <v>2303</v>
      </c>
      <c r="B304">
        <v>83</v>
      </c>
      <c r="C304" t="s">
        <v>38</v>
      </c>
      <c r="D304" t="s">
        <v>17</v>
      </c>
      <c r="E304" t="s">
        <v>42</v>
      </c>
      <c r="F304">
        <v>11</v>
      </c>
      <c r="G304">
        <v>1</v>
      </c>
      <c r="H304" t="s">
        <v>14</v>
      </c>
      <c r="I304">
        <v>9</v>
      </c>
      <c r="J304" t="s">
        <v>33</v>
      </c>
      <c r="K304" t="s">
        <v>14</v>
      </c>
      <c r="L304" t="s">
        <v>16</v>
      </c>
    </row>
    <row r="305" spans="1:12" x14ac:dyDescent="0.3">
      <c r="A305">
        <v>2304</v>
      </c>
      <c r="B305">
        <v>74</v>
      </c>
      <c r="C305" t="s">
        <v>34</v>
      </c>
      <c r="D305" t="s">
        <v>17</v>
      </c>
      <c r="E305" t="s">
        <v>49</v>
      </c>
      <c r="F305">
        <v>13</v>
      </c>
      <c r="G305">
        <v>1</v>
      </c>
      <c r="H305" t="s">
        <v>14</v>
      </c>
      <c r="I305">
        <v>6</v>
      </c>
      <c r="J305" t="s">
        <v>48</v>
      </c>
      <c r="K305" t="s">
        <v>14</v>
      </c>
      <c r="L305" t="s">
        <v>14</v>
      </c>
    </row>
    <row r="306" spans="1:12" x14ac:dyDescent="0.3">
      <c r="A306">
        <v>2305</v>
      </c>
      <c r="B306">
        <v>19</v>
      </c>
      <c r="C306" t="s">
        <v>34</v>
      </c>
      <c r="D306" t="s">
        <v>15</v>
      </c>
      <c r="E306" t="s">
        <v>37</v>
      </c>
      <c r="F306">
        <v>7</v>
      </c>
      <c r="G306">
        <v>2</v>
      </c>
      <c r="H306" t="s">
        <v>16</v>
      </c>
      <c r="I306">
        <v>3</v>
      </c>
      <c r="J306" t="s">
        <v>33</v>
      </c>
      <c r="K306" t="s">
        <v>16</v>
      </c>
      <c r="L306" t="s">
        <v>16</v>
      </c>
    </row>
    <row r="307" spans="1:12" x14ac:dyDescent="0.3">
      <c r="A307">
        <v>2306</v>
      </c>
      <c r="B307">
        <v>63</v>
      </c>
      <c r="C307" t="s">
        <v>38</v>
      </c>
      <c r="D307" t="s">
        <v>18</v>
      </c>
      <c r="E307" t="s">
        <v>50</v>
      </c>
      <c r="F307">
        <v>14</v>
      </c>
      <c r="G307">
        <v>0</v>
      </c>
      <c r="H307" t="s">
        <v>14</v>
      </c>
      <c r="I307">
        <v>1</v>
      </c>
      <c r="J307" t="s">
        <v>36</v>
      </c>
      <c r="K307" t="s">
        <v>14</v>
      </c>
      <c r="L307" t="s">
        <v>16</v>
      </c>
    </row>
    <row r="308" spans="1:12" x14ac:dyDescent="0.3">
      <c r="A308">
        <v>2307</v>
      </c>
      <c r="B308">
        <v>65</v>
      </c>
      <c r="C308" t="s">
        <v>34</v>
      </c>
      <c r="D308" t="s">
        <v>15</v>
      </c>
      <c r="E308" t="s">
        <v>37</v>
      </c>
      <c r="F308">
        <v>6</v>
      </c>
      <c r="G308">
        <v>2</v>
      </c>
      <c r="H308" t="s">
        <v>16</v>
      </c>
      <c r="I308">
        <v>13</v>
      </c>
      <c r="J308" t="s">
        <v>44</v>
      </c>
      <c r="K308" t="s">
        <v>14</v>
      </c>
      <c r="L308" t="s">
        <v>16</v>
      </c>
    </row>
    <row r="309" spans="1:12" x14ac:dyDescent="0.3">
      <c r="A309">
        <v>2308</v>
      </c>
      <c r="B309">
        <v>37</v>
      </c>
      <c r="C309" t="s">
        <v>34</v>
      </c>
      <c r="D309" t="s">
        <v>15</v>
      </c>
      <c r="E309" t="s">
        <v>39</v>
      </c>
      <c r="F309">
        <v>11</v>
      </c>
      <c r="G309">
        <v>0</v>
      </c>
      <c r="H309" t="s">
        <v>14</v>
      </c>
      <c r="I309">
        <v>12</v>
      </c>
      <c r="J309" t="s">
        <v>36</v>
      </c>
      <c r="K309" t="s">
        <v>14</v>
      </c>
      <c r="L309" t="s">
        <v>16</v>
      </c>
    </row>
    <row r="310" spans="1:12" x14ac:dyDescent="0.3">
      <c r="A310">
        <v>2309</v>
      </c>
      <c r="B310">
        <v>29</v>
      </c>
      <c r="C310" t="s">
        <v>34</v>
      </c>
      <c r="D310" t="s">
        <v>19</v>
      </c>
      <c r="E310" t="s">
        <v>41</v>
      </c>
      <c r="F310">
        <v>3</v>
      </c>
      <c r="G310">
        <v>2</v>
      </c>
      <c r="H310" t="s">
        <v>14</v>
      </c>
      <c r="I310">
        <v>2</v>
      </c>
      <c r="J310" t="s">
        <v>48</v>
      </c>
      <c r="K310" t="s">
        <v>14</v>
      </c>
      <c r="L310" t="s">
        <v>16</v>
      </c>
    </row>
    <row r="311" spans="1:12" x14ac:dyDescent="0.3">
      <c r="A311">
        <v>2310</v>
      </c>
      <c r="B311">
        <v>66</v>
      </c>
      <c r="C311" t="s">
        <v>38</v>
      </c>
      <c r="D311" t="s">
        <v>19</v>
      </c>
      <c r="E311" t="s">
        <v>46</v>
      </c>
      <c r="F311">
        <v>9</v>
      </c>
      <c r="G311">
        <v>1</v>
      </c>
      <c r="H311" t="s">
        <v>16</v>
      </c>
      <c r="I311">
        <v>5</v>
      </c>
      <c r="J311" t="s">
        <v>33</v>
      </c>
      <c r="K311" t="s">
        <v>14</v>
      </c>
      <c r="L311" t="s">
        <v>16</v>
      </c>
    </row>
    <row r="312" spans="1:12" x14ac:dyDescent="0.3">
      <c r="A312">
        <v>2311</v>
      </c>
      <c r="B312">
        <v>20</v>
      </c>
      <c r="C312" t="s">
        <v>38</v>
      </c>
      <c r="D312" t="s">
        <v>17</v>
      </c>
      <c r="E312" t="s">
        <v>42</v>
      </c>
      <c r="F312">
        <v>2</v>
      </c>
      <c r="G312">
        <v>1</v>
      </c>
      <c r="H312" t="s">
        <v>16</v>
      </c>
      <c r="I312">
        <v>3</v>
      </c>
      <c r="J312" t="s">
        <v>33</v>
      </c>
      <c r="K312" t="s">
        <v>14</v>
      </c>
      <c r="L312" t="s">
        <v>16</v>
      </c>
    </row>
    <row r="313" spans="1:12" x14ac:dyDescent="0.3">
      <c r="A313">
        <v>2312</v>
      </c>
      <c r="B313">
        <v>48</v>
      </c>
      <c r="C313" t="s">
        <v>34</v>
      </c>
      <c r="D313" t="s">
        <v>15</v>
      </c>
      <c r="E313" t="s">
        <v>40</v>
      </c>
      <c r="F313">
        <v>10</v>
      </c>
      <c r="G313">
        <v>2</v>
      </c>
      <c r="H313" t="s">
        <v>14</v>
      </c>
      <c r="I313">
        <v>10</v>
      </c>
      <c r="J313" t="s">
        <v>33</v>
      </c>
      <c r="K313" t="s">
        <v>16</v>
      </c>
      <c r="L313" t="s">
        <v>14</v>
      </c>
    </row>
    <row r="314" spans="1:12" x14ac:dyDescent="0.3">
      <c r="A314">
        <v>2313</v>
      </c>
      <c r="B314">
        <v>49</v>
      </c>
      <c r="C314" t="s">
        <v>38</v>
      </c>
      <c r="D314" t="s">
        <v>19</v>
      </c>
      <c r="E314" t="s">
        <v>41</v>
      </c>
      <c r="F314">
        <v>7</v>
      </c>
      <c r="G314">
        <v>1</v>
      </c>
      <c r="H314" t="s">
        <v>16</v>
      </c>
      <c r="I314">
        <v>11</v>
      </c>
      <c r="J314" t="s">
        <v>33</v>
      </c>
      <c r="K314" t="s">
        <v>14</v>
      </c>
      <c r="L314" t="s">
        <v>16</v>
      </c>
    </row>
    <row r="315" spans="1:12" x14ac:dyDescent="0.3">
      <c r="A315">
        <v>2314</v>
      </c>
      <c r="B315">
        <v>31</v>
      </c>
      <c r="C315" t="s">
        <v>34</v>
      </c>
      <c r="D315" t="s">
        <v>15</v>
      </c>
      <c r="E315" t="s">
        <v>39</v>
      </c>
      <c r="F315">
        <v>11</v>
      </c>
      <c r="G315">
        <v>0</v>
      </c>
      <c r="H315" t="s">
        <v>16</v>
      </c>
      <c r="I315">
        <v>2</v>
      </c>
      <c r="J315" t="s">
        <v>33</v>
      </c>
      <c r="K315" t="s">
        <v>16</v>
      </c>
      <c r="L315" t="s">
        <v>16</v>
      </c>
    </row>
    <row r="316" spans="1:12" x14ac:dyDescent="0.3">
      <c r="A316">
        <v>2315</v>
      </c>
      <c r="B316">
        <v>27</v>
      </c>
      <c r="C316" t="s">
        <v>34</v>
      </c>
      <c r="D316" t="s">
        <v>15</v>
      </c>
      <c r="E316" t="s">
        <v>39</v>
      </c>
      <c r="F316">
        <v>10</v>
      </c>
      <c r="G316">
        <v>0</v>
      </c>
      <c r="H316" t="s">
        <v>14</v>
      </c>
      <c r="I316">
        <v>11</v>
      </c>
      <c r="J316" t="s">
        <v>33</v>
      </c>
      <c r="K316" t="s">
        <v>14</v>
      </c>
      <c r="L316" t="s">
        <v>16</v>
      </c>
    </row>
    <row r="317" spans="1:12" x14ac:dyDescent="0.3">
      <c r="A317">
        <v>2316</v>
      </c>
      <c r="B317">
        <v>78</v>
      </c>
      <c r="C317" t="s">
        <v>34</v>
      </c>
      <c r="D317" t="s">
        <v>19</v>
      </c>
      <c r="E317" t="s">
        <v>45</v>
      </c>
      <c r="F317">
        <v>4</v>
      </c>
      <c r="G317">
        <v>1</v>
      </c>
      <c r="H317" t="s">
        <v>14</v>
      </c>
      <c r="I317">
        <v>9</v>
      </c>
      <c r="J317" t="s">
        <v>48</v>
      </c>
      <c r="K317" t="s">
        <v>14</v>
      </c>
      <c r="L317" t="s">
        <v>16</v>
      </c>
    </row>
    <row r="318" spans="1:12" x14ac:dyDescent="0.3">
      <c r="A318">
        <v>2317</v>
      </c>
      <c r="B318">
        <v>60</v>
      </c>
      <c r="C318" t="s">
        <v>34</v>
      </c>
      <c r="D318" t="s">
        <v>18</v>
      </c>
      <c r="E318" t="s">
        <v>52</v>
      </c>
      <c r="F318">
        <v>6</v>
      </c>
      <c r="G318">
        <v>1</v>
      </c>
      <c r="H318" t="s">
        <v>16</v>
      </c>
      <c r="I318">
        <v>10</v>
      </c>
      <c r="J318" t="s">
        <v>33</v>
      </c>
      <c r="K318" t="s">
        <v>16</v>
      </c>
      <c r="L318" t="s">
        <v>16</v>
      </c>
    </row>
    <row r="319" spans="1:12" x14ac:dyDescent="0.3">
      <c r="A319">
        <v>2318</v>
      </c>
      <c r="B319">
        <v>63</v>
      </c>
      <c r="C319" t="s">
        <v>38</v>
      </c>
      <c r="D319" t="s">
        <v>15</v>
      </c>
      <c r="E319" t="s">
        <v>37</v>
      </c>
      <c r="F319">
        <v>7</v>
      </c>
      <c r="G319">
        <v>0</v>
      </c>
      <c r="H319" t="s">
        <v>16</v>
      </c>
      <c r="I319">
        <v>1</v>
      </c>
      <c r="J319" t="s">
        <v>44</v>
      </c>
      <c r="K319" t="s">
        <v>16</v>
      </c>
      <c r="L319" t="s">
        <v>16</v>
      </c>
    </row>
    <row r="320" spans="1:12" x14ac:dyDescent="0.3">
      <c r="A320">
        <v>2319</v>
      </c>
      <c r="B320">
        <v>48</v>
      </c>
      <c r="C320" t="s">
        <v>34</v>
      </c>
      <c r="D320" t="s">
        <v>17</v>
      </c>
      <c r="E320" t="s">
        <v>42</v>
      </c>
      <c r="F320">
        <v>12</v>
      </c>
      <c r="G320">
        <v>2</v>
      </c>
      <c r="H320" t="s">
        <v>16</v>
      </c>
      <c r="I320">
        <v>11</v>
      </c>
      <c r="J320" t="s">
        <v>33</v>
      </c>
      <c r="K320" t="s">
        <v>14</v>
      </c>
      <c r="L320" t="s">
        <v>16</v>
      </c>
    </row>
    <row r="321" spans="1:12" x14ac:dyDescent="0.3">
      <c r="A321">
        <v>2320</v>
      </c>
      <c r="B321">
        <v>50</v>
      </c>
      <c r="C321" t="s">
        <v>38</v>
      </c>
      <c r="D321" t="s">
        <v>15</v>
      </c>
      <c r="E321" t="s">
        <v>40</v>
      </c>
      <c r="F321">
        <v>3</v>
      </c>
      <c r="G321">
        <v>1</v>
      </c>
      <c r="H321" t="s">
        <v>16</v>
      </c>
      <c r="I321">
        <v>14</v>
      </c>
      <c r="J321" t="s">
        <v>33</v>
      </c>
      <c r="K321" t="s">
        <v>14</v>
      </c>
      <c r="L321" t="s">
        <v>16</v>
      </c>
    </row>
    <row r="322" spans="1:12" x14ac:dyDescent="0.3">
      <c r="A322">
        <v>2321</v>
      </c>
      <c r="B322">
        <v>42</v>
      </c>
      <c r="C322" t="s">
        <v>38</v>
      </c>
      <c r="D322" t="s">
        <v>15</v>
      </c>
      <c r="E322" t="s">
        <v>40</v>
      </c>
      <c r="F322">
        <v>14</v>
      </c>
      <c r="G322">
        <v>1</v>
      </c>
      <c r="H322" t="s">
        <v>14</v>
      </c>
      <c r="I322">
        <v>3</v>
      </c>
      <c r="J322" t="s">
        <v>36</v>
      </c>
      <c r="K322" t="s">
        <v>16</v>
      </c>
      <c r="L322" t="s">
        <v>14</v>
      </c>
    </row>
    <row r="323" spans="1:12" x14ac:dyDescent="0.3">
      <c r="A323">
        <v>2322</v>
      </c>
      <c r="B323">
        <v>18</v>
      </c>
      <c r="C323" t="s">
        <v>34</v>
      </c>
      <c r="D323" t="s">
        <v>15</v>
      </c>
      <c r="E323" t="s">
        <v>39</v>
      </c>
      <c r="F323">
        <v>3</v>
      </c>
      <c r="G323">
        <v>2</v>
      </c>
      <c r="H323" t="s">
        <v>14</v>
      </c>
      <c r="I323">
        <v>7</v>
      </c>
      <c r="J323" t="s">
        <v>33</v>
      </c>
      <c r="K323" t="s">
        <v>16</v>
      </c>
      <c r="L323" t="s">
        <v>14</v>
      </c>
    </row>
    <row r="324" spans="1:12" x14ac:dyDescent="0.3">
      <c r="A324">
        <v>2323</v>
      </c>
      <c r="B324">
        <v>32</v>
      </c>
      <c r="C324" t="s">
        <v>34</v>
      </c>
      <c r="D324" t="s">
        <v>17</v>
      </c>
      <c r="E324" t="s">
        <v>42</v>
      </c>
      <c r="F324">
        <v>13</v>
      </c>
      <c r="G324">
        <v>2</v>
      </c>
      <c r="H324" t="s">
        <v>16</v>
      </c>
      <c r="I324">
        <v>10</v>
      </c>
      <c r="J324" t="s">
        <v>36</v>
      </c>
      <c r="K324" t="s">
        <v>16</v>
      </c>
      <c r="L324" t="s">
        <v>16</v>
      </c>
    </row>
    <row r="325" spans="1:12" x14ac:dyDescent="0.3">
      <c r="A325">
        <v>2324</v>
      </c>
      <c r="B325">
        <v>78</v>
      </c>
      <c r="C325" t="s">
        <v>34</v>
      </c>
      <c r="D325" t="s">
        <v>19</v>
      </c>
      <c r="E325" t="s">
        <v>41</v>
      </c>
      <c r="F325">
        <v>10</v>
      </c>
      <c r="G325">
        <v>2</v>
      </c>
      <c r="H325" t="s">
        <v>14</v>
      </c>
      <c r="I325">
        <v>7</v>
      </c>
      <c r="J325" t="s">
        <v>48</v>
      </c>
      <c r="K325" t="s">
        <v>14</v>
      </c>
      <c r="L325" t="s">
        <v>16</v>
      </c>
    </row>
    <row r="326" spans="1:12" x14ac:dyDescent="0.3">
      <c r="A326">
        <v>2325</v>
      </c>
      <c r="B326">
        <v>71</v>
      </c>
      <c r="C326" t="s">
        <v>34</v>
      </c>
      <c r="D326" t="s">
        <v>19</v>
      </c>
      <c r="E326" t="s">
        <v>46</v>
      </c>
      <c r="F326">
        <v>7</v>
      </c>
      <c r="G326">
        <v>0</v>
      </c>
      <c r="H326" t="s">
        <v>16</v>
      </c>
      <c r="I326">
        <v>8</v>
      </c>
      <c r="J326" t="s">
        <v>44</v>
      </c>
      <c r="K326" t="s">
        <v>14</v>
      </c>
      <c r="L326" t="s">
        <v>16</v>
      </c>
    </row>
    <row r="327" spans="1:12" x14ac:dyDescent="0.3">
      <c r="A327">
        <v>2326</v>
      </c>
      <c r="B327">
        <v>21</v>
      </c>
      <c r="C327" t="s">
        <v>38</v>
      </c>
      <c r="D327" t="s">
        <v>13</v>
      </c>
      <c r="E327" t="s">
        <v>43</v>
      </c>
      <c r="F327">
        <v>3</v>
      </c>
      <c r="G327">
        <v>2</v>
      </c>
      <c r="H327" t="s">
        <v>14</v>
      </c>
      <c r="I327">
        <v>4</v>
      </c>
      <c r="J327" t="s">
        <v>33</v>
      </c>
      <c r="K327" t="s">
        <v>14</v>
      </c>
      <c r="L327" t="s">
        <v>16</v>
      </c>
    </row>
    <row r="328" spans="1:12" x14ac:dyDescent="0.3">
      <c r="A328">
        <v>2327</v>
      </c>
      <c r="B328">
        <v>18</v>
      </c>
      <c r="C328" t="s">
        <v>38</v>
      </c>
      <c r="D328" t="s">
        <v>18</v>
      </c>
      <c r="E328" t="s">
        <v>50</v>
      </c>
      <c r="F328">
        <v>9</v>
      </c>
      <c r="G328">
        <v>0</v>
      </c>
      <c r="H328" t="s">
        <v>16</v>
      </c>
      <c r="I328">
        <v>7</v>
      </c>
      <c r="J328" t="s">
        <v>33</v>
      </c>
      <c r="K328" t="s">
        <v>14</v>
      </c>
      <c r="L328" t="s">
        <v>16</v>
      </c>
    </row>
    <row r="329" spans="1:12" x14ac:dyDescent="0.3">
      <c r="A329">
        <v>2328</v>
      </c>
      <c r="B329">
        <v>54</v>
      </c>
      <c r="C329" t="s">
        <v>38</v>
      </c>
      <c r="D329" t="s">
        <v>19</v>
      </c>
      <c r="E329" t="s">
        <v>41</v>
      </c>
      <c r="F329">
        <v>12</v>
      </c>
      <c r="G329">
        <v>2</v>
      </c>
      <c r="H329" t="s">
        <v>16</v>
      </c>
      <c r="I329">
        <v>6</v>
      </c>
      <c r="J329" t="s">
        <v>33</v>
      </c>
      <c r="K329" t="s">
        <v>14</v>
      </c>
      <c r="L329" t="s">
        <v>16</v>
      </c>
    </row>
    <row r="330" spans="1:12" x14ac:dyDescent="0.3">
      <c r="A330">
        <v>2329</v>
      </c>
      <c r="B330">
        <v>29</v>
      </c>
      <c r="C330" t="s">
        <v>34</v>
      </c>
      <c r="D330" t="s">
        <v>13</v>
      </c>
      <c r="E330" t="s">
        <v>43</v>
      </c>
      <c r="F330">
        <v>11</v>
      </c>
      <c r="G330">
        <v>1</v>
      </c>
      <c r="H330" t="s">
        <v>14</v>
      </c>
      <c r="I330">
        <v>14</v>
      </c>
      <c r="J330" t="s">
        <v>33</v>
      </c>
      <c r="K330" t="s">
        <v>14</v>
      </c>
      <c r="L330" t="s">
        <v>16</v>
      </c>
    </row>
    <row r="331" spans="1:12" x14ac:dyDescent="0.3">
      <c r="A331">
        <v>2330</v>
      </c>
      <c r="B331">
        <v>18</v>
      </c>
      <c r="C331" t="s">
        <v>34</v>
      </c>
      <c r="D331" t="s">
        <v>17</v>
      </c>
      <c r="E331" t="s">
        <v>53</v>
      </c>
      <c r="F331">
        <v>2</v>
      </c>
      <c r="G331">
        <v>0</v>
      </c>
      <c r="H331" t="s">
        <v>16</v>
      </c>
      <c r="I331">
        <v>7</v>
      </c>
      <c r="J331" t="s">
        <v>33</v>
      </c>
      <c r="K331" t="s">
        <v>14</v>
      </c>
      <c r="L331" t="s">
        <v>16</v>
      </c>
    </row>
    <row r="332" spans="1:12" x14ac:dyDescent="0.3">
      <c r="A332">
        <v>2331</v>
      </c>
      <c r="B332">
        <v>68</v>
      </c>
      <c r="C332" t="s">
        <v>38</v>
      </c>
      <c r="D332" t="s">
        <v>18</v>
      </c>
      <c r="E332" t="s">
        <v>50</v>
      </c>
      <c r="F332">
        <v>3</v>
      </c>
      <c r="G332">
        <v>1</v>
      </c>
      <c r="H332" t="s">
        <v>14</v>
      </c>
      <c r="I332">
        <v>8</v>
      </c>
      <c r="J332" t="s">
        <v>33</v>
      </c>
      <c r="K332" t="s">
        <v>16</v>
      </c>
      <c r="L332" t="s">
        <v>14</v>
      </c>
    </row>
    <row r="333" spans="1:12" x14ac:dyDescent="0.3">
      <c r="A333">
        <v>2332</v>
      </c>
      <c r="B333">
        <v>49</v>
      </c>
      <c r="C333" t="s">
        <v>38</v>
      </c>
      <c r="D333" t="s">
        <v>13</v>
      </c>
      <c r="E333" t="s">
        <v>43</v>
      </c>
      <c r="F333">
        <v>8</v>
      </c>
      <c r="G333">
        <v>2</v>
      </c>
      <c r="H333" t="s">
        <v>16</v>
      </c>
      <c r="I333">
        <v>12</v>
      </c>
      <c r="J333" t="s">
        <v>33</v>
      </c>
      <c r="K333" t="s">
        <v>14</v>
      </c>
      <c r="L333" t="s">
        <v>16</v>
      </c>
    </row>
    <row r="334" spans="1:12" x14ac:dyDescent="0.3">
      <c r="A334">
        <v>2333</v>
      </c>
      <c r="B334">
        <v>76</v>
      </c>
      <c r="C334" t="s">
        <v>34</v>
      </c>
      <c r="D334" t="s">
        <v>15</v>
      </c>
      <c r="E334" t="s">
        <v>40</v>
      </c>
      <c r="F334">
        <v>10</v>
      </c>
      <c r="G334">
        <v>1</v>
      </c>
      <c r="H334" t="s">
        <v>16</v>
      </c>
      <c r="I334">
        <v>4</v>
      </c>
      <c r="J334" t="s">
        <v>33</v>
      </c>
      <c r="K334" t="s">
        <v>14</v>
      </c>
      <c r="L334" t="s">
        <v>16</v>
      </c>
    </row>
    <row r="335" spans="1:12" x14ac:dyDescent="0.3">
      <c r="A335">
        <v>2334</v>
      </c>
      <c r="B335">
        <v>72</v>
      </c>
      <c r="C335" t="s">
        <v>38</v>
      </c>
      <c r="D335" t="s">
        <v>13</v>
      </c>
      <c r="E335" t="s">
        <v>32</v>
      </c>
      <c r="F335">
        <v>7</v>
      </c>
      <c r="G335">
        <v>1</v>
      </c>
      <c r="H335" t="s">
        <v>16</v>
      </c>
      <c r="I335">
        <v>3</v>
      </c>
      <c r="J335" t="s">
        <v>33</v>
      </c>
      <c r="K335" t="s">
        <v>14</v>
      </c>
      <c r="L335" t="s">
        <v>16</v>
      </c>
    </row>
    <row r="336" spans="1:12" x14ac:dyDescent="0.3">
      <c r="A336">
        <v>2335</v>
      </c>
      <c r="B336">
        <v>74</v>
      </c>
      <c r="C336" t="s">
        <v>38</v>
      </c>
      <c r="D336" t="s">
        <v>17</v>
      </c>
      <c r="E336" t="s">
        <v>42</v>
      </c>
      <c r="F336">
        <v>2</v>
      </c>
      <c r="G336">
        <v>2</v>
      </c>
      <c r="H336" t="s">
        <v>16</v>
      </c>
      <c r="I336">
        <v>12</v>
      </c>
      <c r="J336" t="s">
        <v>33</v>
      </c>
      <c r="K336" t="s">
        <v>16</v>
      </c>
      <c r="L336" t="s">
        <v>16</v>
      </c>
    </row>
    <row r="337" spans="1:12" x14ac:dyDescent="0.3">
      <c r="A337">
        <v>2336</v>
      </c>
      <c r="B337">
        <v>66</v>
      </c>
      <c r="C337" t="s">
        <v>34</v>
      </c>
      <c r="D337" t="s">
        <v>13</v>
      </c>
      <c r="E337" t="s">
        <v>43</v>
      </c>
      <c r="F337">
        <v>10</v>
      </c>
      <c r="G337">
        <v>2</v>
      </c>
      <c r="H337" t="s">
        <v>14</v>
      </c>
      <c r="I337">
        <v>2</v>
      </c>
      <c r="J337" t="s">
        <v>44</v>
      </c>
      <c r="K337" t="s">
        <v>14</v>
      </c>
      <c r="L337" t="s">
        <v>16</v>
      </c>
    </row>
    <row r="338" spans="1:12" x14ac:dyDescent="0.3">
      <c r="A338">
        <v>2337</v>
      </c>
      <c r="B338">
        <v>84</v>
      </c>
      <c r="C338" t="s">
        <v>38</v>
      </c>
      <c r="D338" t="s">
        <v>19</v>
      </c>
      <c r="E338" t="s">
        <v>46</v>
      </c>
      <c r="F338">
        <v>11</v>
      </c>
      <c r="G338">
        <v>3</v>
      </c>
      <c r="H338" t="s">
        <v>16</v>
      </c>
      <c r="I338">
        <v>4</v>
      </c>
      <c r="J338" t="s">
        <v>33</v>
      </c>
      <c r="K338" t="s">
        <v>14</v>
      </c>
      <c r="L338" t="s">
        <v>16</v>
      </c>
    </row>
    <row r="339" spans="1:12" x14ac:dyDescent="0.3">
      <c r="A339">
        <v>2338</v>
      </c>
      <c r="B339">
        <v>70</v>
      </c>
      <c r="C339" t="s">
        <v>38</v>
      </c>
      <c r="D339" t="s">
        <v>13</v>
      </c>
      <c r="E339" t="s">
        <v>35</v>
      </c>
      <c r="F339">
        <v>1</v>
      </c>
      <c r="G339">
        <v>0</v>
      </c>
      <c r="H339" t="s">
        <v>14</v>
      </c>
      <c r="I339">
        <v>13</v>
      </c>
      <c r="J339" t="s">
        <v>44</v>
      </c>
      <c r="K339" t="s">
        <v>14</v>
      </c>
      <c r="L339" t="s">
        <v>16</v>
      </c>
    </row>
    <row r="340" spans="1:12" x14ac:dyDescent="0.3">
      <c r="A340">
        <v>2339</v>
      </c>
      <c r="B340">
        <v>85</v>
      </c>
      <c r="C340" t="s">
        <v>38</v>
      </c>
      <c r="D340" t="s">
        <v>17</v>
      </c>
      <c r="E340" t="s">
        <v>42</v>
      </c>
      <c r="F340">
        <v>14</v>
      </c>
      <c r="G340">
        <v>2</v>
      </c>
      <c r="H340" t="s">
        <v>14</v>
      </c>
      <c r="I340">
        <v>11</v>
      </c>
      <c r="J340" t="s">
        <v>33</v>
      </c>
      <c r="K340" t="s">
        <v>16</v>
      </c>
      <c r="L340" t="s">
        <v>14</v>
      </c>
    </row>
    <row r="341" spans="1:12" x14ac:dyDescent="0.3">
      <c r="A341">
        <v>2340</v>
      </c>
      <c r="B341">
        <v>78</v>
      </c>
      <c r="C341" t="s">
        <v>38</v>
      </c>
      <c r="D341" t="s">
        <v>13</v>
      </c>
      <c r="E341" t="s">
        <v>32</v>
      </c>
      <c r="F341">
        <v>4</v>
      </c>
      <c r="G341">
        <v>3</v>
      </c>
      <c r="H341" t="s">
        <v>14</v>
      </c>
      <c r="I341">
        <v>2</v>
      </c>
      <c r="J341" t="s">
        <v>33</v>
      </c>
      <c r="K341" t="s">
        <v>14</v>
      </c>
      <c r="L341" t="s">
        <v>16</v>
      </c>
    </row>
    <row r="342" spans="1:12" x14ac:dyDescent="0.3">
      <c r="A342">
        <v>2341</v>
      </c>
      <c r="B342">
        <v>40</v>
      </c>
      <c r="C342" t="s">
        <v>34</v>
      </c>
      <c r="D342" t="s">
        <v>19</v>
      </c>
      <c r="E342" t="s">
        <v>46</v>
      </c>
      <c r="F342">
        <v>11</v>
      </c>
      <c r="G342">
        <v>1</v>
      </c>
      <c r="H342" t="s">
        <v>16</v>
      </c>
      <c r="I342">
        <v>14</v>
      </c>
      <c r="J342" t="s">
        <v>44</v>
      </c>
      <c r="K342" t="s">
        <v>14</v>
      </c>
      <c r="L342" t="s">
        <v>16</v>
      </c>
    </row>
    <row r="343" spans="1:12" x14ac:dyDescent="0.3">
      <c r="A343">
        <v>2342</v>
      </c>
      <c r="B343">
        <v>66</v>
      </c>
      <c r="C343" t="s">
        <v>38</v>
      </c>
      <c r="D343" t="s">
        <v>17</v>
      </c>
      <c r="E343" t="s">
        <v>49</v>
      </c>
      <c r="F343">
        <v>9</v>
      </c>
      <c r="G343">
        <v>1</v>
      </c>
      <c r="H343" t="s">
        <v>16</v>
      </c>
      <c r="I343">
        <v>6</v>
      </c>
      <c r="J343" t="s">
        <v>33</v>
      </c>
      <c r="K343" t="s">
        <v>14</v>
      </c>
      <c r="L343" t="s">
        <v>16</v>
      </c>
    </row>
    <row r="344" spans="1:12" x14ac:dyDescent="0.3">
      <c r="A344">
        <v>2343</v>
      </c>
      <c r="B344">
        <v>39</v>
      </c>
      <c r="C344" t="s">
        <v>34</v>
      </c>
      <c r="D344" t="s">
        <v>15</v>
      </c>
      <c r="E344" t="s">
        <v>37</v>
      </c>
      <c r="F344">
        <v>8</v>
      </c>
      <c r="G344">
        <v>0</v>
      </c>
      <c r="H344" t="s">
        <v>16</v>
      </c>
      <c r="I344">
        <v>6</v>
      </c>
      <c r="J344" t="s">
        <v>36</v>
      </c>
      <c r="K344" t="s">
        <v>16</v>
      </c>
      <c r="L344" t="s">
        <v>16</v>
      </c>
    </row>
    <row r="345" spans="1:12" x14ac:dyDescent="0.3">
      <c r="A345">
        <v>2344</v>
      </c>
      <c r="B345">
        <v>87</v>
      </c>
      <c r="C345" t="s">
        <v>34</v>
      </c>
      <c r="D345" t="s">
        <v>13</v>
      </c>
      <c r="E345" t="s">
        <v>32</v>
      </c>
      <c r="F345">
        <v>13</v>
      </c>
      <c r="G345">
        <v>1</v>
      </c>
      <c r="H345" t="s">
        <v>16</v>
      </c>
      <c r="I345">
        <v>3</v>
      </c>
      <c r="J345" t="s">
        <v>48</v>
      </c>
      <c r="K345" t="s">
        <v>16</v>
      </c>
      <c r="L345" t="s">
        <v>14</v>
      </c>
    </row>
    <row r="346" spans="1:12" x14ac:dyDescent="0.3">
      <c r="A346">
        <v>2345</v>
      </c>
      <c r="B346">
        <v>19</v>
      </c>
      <c r="C346" t="s">
        <v>34</v>
      </c>
      <c r="D346" t="s">
        <v>19</v>
      </c>
      <c r="E346" t="s">
        <v>46</v>
      </c>
      <c r="F346">
        <v>1</v>
      </c>
      <c r="G346">
        <v>0</v>
      </c>
      <c r="H346" t="s">
        <v>14</v>
      </c>
      <c r="I346">
        <v>6</v>
      </c>
      <c r="J346" t="s">
        <v>33</v>
      </c>
      <c r="K346" t="s">
        <v>16</v>
      </c>
      <c r="L346" t="s">
        <v>16</v>
      </c>
    </row>
    <row r="347" spans="1:12" x14ac:dyDescent="0.3">
      <c r="A347">
        <v>2346</v>
      </c>
      <c r="B347">
        <v>54</v>
      </c>
      <c r="C347" t="s">
        <v>38</v>
      </c>
      <c r="D347" t="s">
        <v>18</v>
      </c>
      <c r="E347" t="s">
        <v>52</v>
      </c>
      <c r="F347">
        <v>2</v>
      </c>
      <c r="G347">
        <v>0</v>
      </c>
      <c r="H347" t="s">
        <v>14</v>
      </c>
      <c r="I347">
        <v>1</v>
      </c>
      <c r="J347" t="s">
        <v>48</v>
      </c>
      <c r="K347" t="s">
        <v>14</v>
      </c>
      <c r="L347" t="s">
        <v>16</v>
      </c>
    </row>
    <row r="348" spans="1:12" x14ac:dyDescent="0.3">
      <c r="A348">
        <v>2347</v>
      </c>
      <c r="B348">
        <v>40</v>
      </c>
      <c r="C348" t="s">
        <v>34</v>
      </c>
      <c r="D348" t="s">
        <v>17</v>
      </c>
      <c r="E348" t="s">
        <v>53</v>
      </c>
      <c r="F348">
        <v>9</v>
      </c>
      <c r="G348">
        <v>0</v>
      </c>
      <c r="H348" t="s">
        <v>16</v>
      </c>
      <c r="I348">
        <v>11</v>
      </c>
      <c r="J348" t="s">
        <v>36</v>
      </c>
      <c r="K348" t="s">
        <v>16</v>
      </c>
      <c r="L348" t="s">
        <v>16</v>
      </c>
    </row>
    <row r="349" spans="1:12" x14ac:dyDescent="0.3">
      <c r="A349">
        <v>2348</v>
      </c>
      <c r="B349">
        <v>27</v>
      </c>
      <c r="C349" t="s">
        <v>38</v>
      </c>
      <c r="D349" t="s">
        <v>18</v>
      </c>
      <c r="E349" t="s">
        <v>50</v>
      </c>
      <c r="F349">
        <v>5</v>
      </c>
      <c r="G349">
        <v>0</v>
      </c>
      <c r="H349" t="s">
        <v>14</v>
      </c>
      <c r="I349">
        <v>3</v>
      </c>
      <c r="J349" t="s">
        <v>33</v>
      </c>
      <c r="K349" t="s">
        <v>14</v>
      </c>
      <c r="L349" t="s">
        <v>16</v>
      </c>
    </row>
    <row r="350" spans="1:12" x14ac:dyDescent="0.3">
      <c r="A350">
        <v>2349</v>
      </c>
      <c r="B350">
        <v>47</v>
      </c>
      <c r="C350" t="s">
        <v>34</v>
      </c>
      <c r="D350" t="s">
        <v>19</v>
      </c>
      <c r="E350" t="s">
        <v>41</v>
      </c>
      <c r="F350">
        <v>12</v>
      </c>
      <c r="G350">
        <v>3</v>
      </c>
      <c r="H350" t="s">
        <v>14</v>
      </c>
      <c r="I350">
        <v>1</v>
      </c>
      <c r="J350" t="s">
        <v>33</v>
      </c>
      <c r="K350" t="s">
        <v>14</v>
      </c>
      <c r="L350" t="s">
        <v>16</v>
      </c>
    </row>
    <row r="351" spans="1:12" x14ac:dyDescent="0.3">
      <c r="A351">
        <v>2350</v>
      </c>
      <c r="B351">
        <v>89</v>
      </c>
      <c r="C351" t="s">
        <v>34</v>
      </c>
      <c r="D351" t="s">
        <v>13</v>
      </c>
      <c r="E351" t="s">
        <v>43</v>
      </c>
      <c r="F351">
        <v>3</v>
      </c>
      <c r="G351">
        <v>2</v>
      </c>
      <c r="H351" t="s">
        <v>16</v>
      </c>
      <c r="I351">
        <v>3</v>
      </c>
      <c r="J351" t="s">
        <v>44</v>
      </c>
      <c r="K351" t="s">
        <v>16</v>
      </c>
      <c r="L351" t="s">
        <v>16</v>
      </c>
    </row>
    <row r="352" spans="1:12" x14ac:dyDescent="0.3">
      <c r="A352">
        <v>2351</v>
      </c>
      <c r="B352">
        <v>22</v>
      </c>
      <c r="C352" t="s">
        <v>34</v>
      </c>
      <c r="D352" t="s">
        <v>17</v>
      </c>
      <c r="E352" t="s">
        <v>42</v>
      </c>
      <c r="F352">
        <v>13</v>
      </c>
      <c r="G352">
        <v>0</v>
      </c>
      <c r="H352" t="s">
        <v>14</v>
      </c>
      <c r="I352">
        <v>6</v>
      </c>
      <c r="J352" t="s">
        <v>44</v>
      </c>
      <c r="K352" t="s">
        <v>14</v>
      </c>
      <c r="L352" t="s">
        <v>16</v>
      </c>
    </row>
    <row r="353" spans="1:12" x14ac:dyDescent="0.3">
      <c r="A353">
        <v>2352</v>
      </c>
      <c r="B353">
        <v>26</v>
      </c>
      <c r="C353" t="s">
        <v>34</v>
      </c>
      <c r="D353" t="s">
        <v>15</v>
      </c>
      <c r="E353" t="s">
        <v>40</v>
      </c>
      <c r="F353">
        <v>11</v>
      </c>
      <c r="G353">
        <v>1</v>
      </c>
      <c r="H353" t="s">
        <v>16</v>
      </c>
      <c r="I353">
        <v>4</v>
      </c>
      <c r="J353" t="s">
        <v>48</v>
      </c>
      <c r="K353" t="s">
        <v>16</v>
      </c>
      <c r="L353" t="s">
        <v>14</v>
      </c>
    </row>
    <row r="354" spans="1:12" x14ac:dyDescent="0.3">
      <c r="A354">
        <v>2353</v>
      </c>
      <c r="B354">
        <v>55</v>
      </c>
      <c r="C354" t="s">
        <v>38</v>
      </c>
      <c r="D354" t="s">
        <v>13</v>
      </c>
      <c r="E354" t="s">
        <v>43</v>
      </c>
      <c r="F354">
        <v>9</v>
      </c>
      <c r="G354">
        <v>3</v>
      </c>
      <c r="H354" t="s">
        <v>16</v>
      </c>
      <c r="I354">
        <v>7</v>
      </c>
      <c r="J354" t="s">
        <v>33</v>
      </c>
      <c r="K354" t="s">
        <v>14</v>
      </c>
      <c r="L354" t="s">
        <v>14</v>
      </c>
    </row>
    <row r="355" spans="1:12" x14ac:dyDescent="0.3">
      <c r="A355">
        <v>2354</v>
      </c>
      <c r="B355">
        <v>19</v>
      </c>
      <c r="C355" t="s">
        <v>38</v>
      </c>
      <c r="D355" t="s">
        <v>13</v>
      </c>
      <c r="E355" t="s">
        <v>35</v>
      </c>
      <c r="F355">
        <v>9</v>
      </c>
      <c r="G355">
        <v>0</v>
      </c>
      <c r="H355" t="s">
        <v>14</v>
      </c>
      <c r="I355">
        <v>13</v>
      </c>
      <c r="J355" t="s">
        <v>33</v>
      </c>
      <c r="K355" t="s">
        <v>14</v>
      </c>
      <c r="L355" t="s">
        <v>16</v>
      </c>
    </row>
    <row r="356" spans="1:12" x14ac:dyDescent="0.3">
      <c r="A356">
        <v>2355</v>
      </c>
      <c r="B356">
        <v>31</v>
      </c>
      <c r="C356" t="s">
        <v>34</v>
      </c>
      <c r="D356" t="s">
        <v>13</v>
      </c>
      <c r="E356" t="s">
        <v>43</v>
      </c>
      <c r="F356">
        <v>13</v>
      </c>
      <c r="G356">
        <v>1</v>
      </c>
      <c r="H356" t="s">
        <v>16</v>
      </c>
      <c r="I356">
        <v>11</v>
      </c>
      <c r="J356" t="s">
        <v>33</v>
      </c>
      <c r="K356" t="s">
        <v>14</v>
      </c>
      <c r="L356" t="s">
        <v>16</v>
      </c>
    </row>
    <row r="357" spans="1:12" x14ac:dyDescent="0.3">
      <c r="A357">
        <v>2356</v>
      </c>
      <c r="B357">
        <v>55</v>
      </c>
      <c r="C357" t="s">
        <v>38</v>
      </c>
      <c r="D357" t="s">
        <v>17</v>
      </c>
      <c r="E357" t="s">
        <v>49</v>
      </c>
      <c r="F357">
        <v>8</v>
      </c>
      <c r="G357">
        <v>1</v>
      </c>
      <c r="H357" t="s">
        <v>16</v>
      </c>
      <c r="I357">
        <v>11</v>
      </c>
      <c r="J357" t="s">
        <v>33</v>
      </c>
      <c r="K357" t="s">
        <v>16</v>
      </c>
      <c r="L357" t="s">
        <v>16</v>
      </c>
    </row>
    <row r="358" spans="1:12" x14ac:dyDescent="0.3">
      <c r="A358">
        <v>2357</v>
      </c>
      <c r="B358">
        <v>62</v>
      </c>
      <c r="C358" t="s">
        <v>34</v>
      </c>
      <c r="D358" t="s">
        <v>15</v>
      </c>
      <c r="E358" t="s">
        <v>37</v>
      </c>
      <c r="F358">
        <v>5</v>
      </c>
      <c r="G358">
        <v>1</v>
      </c>
      <c r="H358" t="s">
        <v>14</v>
      </c>
      <c r="I358">
        <v>9</v>
      </c>
      <c r="J358" t="s">
        <v>33</v>
      </c>
      <c r="K358" t="s">
        <v>16</v>
      </c>
      <c r="L358" t="s">
        <v>16</v>
      </c>
    </row>
    <row r="359" spans="1:12" x14ac:dyDescent="0.3">
      <c r="A359">
        <v>2358</v>
      </c>
      <c r="B359">
        <v>40</v>
      </c>
      <c r="C359" t="s">
        <v>34</v>
      </c>
      <c r="D359" t="s">
        <v>13</v>
      </c>
      <c r="E359" t="s">
        <v>35</v>
      </c>
      <c r="F359">
        <v>9</v>
      </c>
      <c r="G359">
        <v>0</v>
      </c>
      <c r="H359" t="s">
        <v>14</v>
      </c>
      <c r="I359">
        <v>9</v>
      </c>
      <c r="J359" t="s">
        <v>33</v>
      </c>
      <c r="K359" t="s">
        <v>14</v>
      </c>
      <c r="L359" t="s">
        <v>16</v>
      </c>
    </row>
    <row r="360" spans="1:12" x14ac:dyDescent="0.3">
      <c r="A360">
        <v>2359</v>
      </c>
      <c r="B360">
        <v>74</v>
      </c>
      <c r="C360" t="s">
        <v>34</v>
      </c>
      <c r="D360" t="s">
        <v>13</v>
      </c>
      <c r="E360" t="s">
        <v>35</v>
      </c>
      <c r="F360">
        <v>10</v>
      </c>
      <c r="G360">
        <v>1</v>
      </c>
      <c r="H360" t="s">
        <v>16</v>
      </c>
      <c r="I360">
        <v>12</v>
      </c>
      <c r="J360" t="s">
        <v>44</v>
      </c>
      <c r="K360" t="s">
        <v>14</v>
      </c>
      <c r="L360" t="s">
        <v>16</v>
      </c>
    </row>
    <row r="361" spans="1:12" x14ac:dyDescent="0.3">
      <c r="A361">
        <v>2360</v>
      </c>
      <c r="B361">
        <v>59</v>
      </c>
      <c r="C361" t="s">
        <v>34</v>
      </c>
      <c r="D361" t="s">
        <v>18</v>
      </c>
      <c r="E361" t="s">
        <v>50</v>
      </c>
      <c r="F361">
        <v>10</v>
      </c>
      <c r="G361">
        <v>0</v>
      </c>
      <c r="H361" t="s">
        <v>14</v>
      </c>
      <c r="I361">
        <v>2</v>
      </c>
      <c r="J361" t="s">
        <v>33</v>
      </c>
      <c r="K361" t="s">
        <v>14</v>
      </c>
      <c r="L361" t="s">
        <v>16</v>
      </c>
    </row>
    <row r="362" spans="1:12" x14ac:dyDescent="0.3">
      <c r="A362">
        <v>2361</v>
      </c>
      <c r="B362">
        <v>50</v>
      </c>
      <c r="C362" t="s">
        <v>34</v>
      </c>
      <c r="D362" t="s">
        <v>15</v>
      </c>
      <c r="E362" t="s">
        <v>40</v>
      </c>
      <c r="F362">
        <v>10</v>
      </c>
      <c r="G362">
        <v>0</v>
      </c>
      <c r="H362" t="s">
        <v>16</v>
      </c>
      <c r="I362">
        <v>11</v>
      </c>
      <c r="J362" t="s">
        <v>33</v>
      </c>
      <c r="K362" t="s">
        <v>14</v>
      </c>
      <c r="L362" t="s">
        <v>16</v>
      </c>
    </row>
    <row r="363" spans="1:12" x14ac:dyDescent="0.3">
      <c r="A363">
        <v>2362</v>
      </c>
      <c r="B363">
        <v>50</v>
      </c>
      <c r="C363" t="s">
        <v>38</v>
      </c>
      <c r="D363" t="s">
        <v>18</v>
      </c>
      <c r="E363" t="s">
        <v>51</v>
      </c>
      <c r="F363">
        <v>8</v>
      </c>
      <c r="G363">
        <v>0</v>
      </c>
      <c r="H363" t="s">
        <v>14</v>
      </c>
      <c r="I363">
        <v>14</v>
      </c>
      <c r="J363" t="s">
        <v>33</v>
      </c>
      <c r="K363" t="s">
        <v>14</v>
      </c>
      <c r="L363" t="s">
        <v>16</v>
      </c>
    </row>
    <row r="364" spans="1:12" x14ac:dyDescent="0.3">
      <c r="A364">
        <v>2363</v>
      </c>
      <c r="B364">
        <v>58</v>
      </c>
      <c r="C364" t="s">
        <v>34</v>
      </c>
      <c r="D364" t="s">
        <v>19</v>
      </c>
      <c r="E364" t="s">
        <v>45</v>
      </c>
      <c r="F364">
        <v>14</v>
      </c>
      <c r="G364">
        <v>2</v>
      </c>
      <c r="H364" t="s">
        <v>14</v>
      </c>
      <c r="I364">
        <v>10</v>
      </c>
      <c r="J364" t="s">
        <v>48</v>
      </c>
      <c r="K364" t="s">
        <v>14</v>
      </c>
      <c r="L364" t="s">
        <v>14</v>
      </c>
    </row>
    <row r="365" spans="1:12" x14ac:dyDescent="0.3">
      <c r="A365">
        <v>2364</v>
      </c>
      <c r="B365">
        <v>27</v>
      </c>
      <c r="C365" t="s">
        <v>34</v>
      </c>
      <c r="D365" t="s">
        <v>17</v>
      </c>
      <c r="E365" t="s">
        <v>53</v>
      </c>
      <c r="F365">
        <v>10</v>
      </c>
      <c r="G365">
        <v>1</v>
      </c>
      <c r="H365" t="s">
        <v>16</v>
      </c>
      <c r="I365">
        <v>11</v>
      </c>
      <c r="J365" t="s">
        <v>48</v>
      </c>
      <c r="K365" t="s">
        <v>14</v>
      </c>
      <c r="L365" t="s">
        <v>16</v>
      </c>
    </row>
    <row r="366" spans="1:12" x14ac:dyDescent="0.3">
      <c r="A366">
        <v>2365</v>
      </c>
      <c r="B366">
        <v>54</v>
      </c>
      <c r="C366" t="s">
        <v>34</v>
      </c>
      <c r="D366" t="s">
        <v>13</v>
      </c>
      <c r="E366" t="s">
        <v>32</v>
      </c>
      <c r="F366">
        <v>8</v>
      </c>
      <c r="G366">
        <v>1</v>
      </c>
      <c r="H366" t="s">
        <v>16</v>
      </c>
      <c r="I366">
        <v>6</v>
      </c>
      <c r="J366" t="s">
        <v>36</v>
      </c>
      <c r="K366" t="s">
        <v>16</v>
      </c>
      <c r="L366" t="s">
        <v>14</v>
      </c>
    </row>
    <row r="367" spans="1:12" x14ac:dyDescent="0.3">
      <c r="A367">
        <v>2366</v>
      </c>
      <c r="B367">
        <v>28</v>
      </c>
      <c r="C367" t="s">
        <v>38</v>
      </c>
      <c r="D367" t="s">
        <v>18</v>
      </c>
      <c r="E367" t="s">
        <v>52</v>
      </c>
      <c r="F367">
        <v>4</v>
      </c>
      <c r="G367">
        <v>2</v>
      </c>
      <c r="H367" t="s">
        <v>16</v>
      </c>
      <c r="I367">
        <v>4</v>
      </c>
      <c r="J367" t="s">
        <v>33</v>
      </c>
      <c r="K367" t="s">
        <v>16</v>
      </c>
      <c r="L367" t="s">
        <v>16</v>
      </c>
    </row>
    <row r="368" spans="1:12" x14ac:dyDescent="0.3">
      <c r="A368">
        <v>2367</v>
      </c>
      <c r="B368">
        <v>39</v>
      </c>
      <c r="C368" t="s">
        <v>38</v>
      </c>
      <c r="D368" t="s">
        <v>18</v>
      </c>
      <c r="E368" t="s">
        <v>52</v>
      </c>
      <c r="F368">
        <v>4</v>
      </c>
      <c r="G368">
        <v>3</v>
      </c>
      <c r="H368" t="s">
        <v>16</v>
      </c>
      <c r="I368">
        <v>9</v>
      </c>
      <c r="J368" t="s">
        <v>33</v>
      </c>
      <c r="K368" t="s">
        <v>16</v>
      </c>
      <c r="L368" t="s">
        <v>16</v>
      </c>
    </row>
    <row r="369" spans="1:12" x14ac:dyDescent="0.3">
      <c r="A369">
        <v>2368</v>
      </c>
      <c r="B369">
        <v>70</v>
      </c>
      <c r="C369" t="s">
        <v>38</v>
      </c>
      <c r="D369" t="s">
        <v>19</v>
      </c>
      <c r="E369" t="s">
        <v>45</v>
      </c>
      <c r="F369">
        <v>14</v>
      </c>
      <c r="G369">
        <v>1</v>
      </c>
      <c r="H369" t="s">
        <v>14</v>
      </c>
      <c r="I369">
        <v>11</v>
      </c>
      <c r="J369" t="s">
        <v>44</v>
      </c>
      <c r="K369" t="s">
        <v>16</v>
      </c>
      <c r="L369" t="s">
        <v>14</v>
      </c>
    </row>
    <row r="370" spans="1:12" x14ac:dyDescent="0.3">
      <c r="A370">
        <v>2369</v>
      </c>
      <c r="B370">
        <v>35</v>
      </c>
      <c r="C370" t="s">
        <v>38</v>
      </c>
      <c r="D370" t="s">
        <v>15</v>
      </c>
      <c r="E370" t="s">
        <v>37</v>
      </c>
      <c r="F370">
        <v>4</v>
      </c>
      <c r="G370">
        <v>1</v>
      </c>
      <c r="H370" t="s">
        <v>16</v>
      </c>
      <c r="I370">
        <v>8</v>
      </c>
      <c r="J370" t="s">
        <v>44</v>
      </c>
      <c r="K370" t="s">
        <v>16</v>
      </c>
      <c r="L370" t="s">
        <v>16</v>
      </c>
    </row>
    <row r="371" spans="1:12" x14ac:dyDescent="0.3">
      <c r="A371">
        <v>2370</v>
      </c>
      <c r="B371">
        <v>53</v>
      </c>
      <c r="C371" t="s">
        <v>34</v>
      </c>
      <c r="D371" t="s">
        <v>18</v>
      </c>
      <c r="E371" t="s">
        <v>51</v>
      </c>
      <c r="F371">
        <v>14</v>
      </c>
      <c r="G371">
        <v>1</v>
      </c>
      <c r="H371" t="s">
        <v>16</v>
      </c>
      <c r="I371">
        <v>4</v>
      </c>
      <c r="J371" t="s">
        <v>36</v>
      </c>
      <c r="K371" t="s">
        <v>16</v>
      </c>
      <c r="L371" t="s">
        <v>16</v>
      </c>
    </row>
    <row r="372" spans="1:12" x14ac:dyDescent="0.3">
      <c r="A372">
        <v>2371</v>
      </c>
      <c r="B372">
        <v>34</v>
      </c>
      <c r="C372" t="s">
        <v>38</v>
      </c>
      <c r="D372" t="s">
        <v>19</v>
      </c>
      <c r="E372" t="s">
        <v>46</v>
      </c>
      <c r="F372">
        <v>10</v>
      </c>
      <c r="G372">
        <v>0</v>
      </c>
      <c r="H372" t="s">
        <v>14</v>
      </c>
      <c r="I372">
        <v>3</v>
      </c>
      <c r="J372" t="s">
        <v>33</v>
      </c>
      <c r="K372" t="s">
        <v>14</v>
      </c>
      <c r="L372" t="s">
        <v>16</v>
      </c>
    </row>
    <row r="373" spans="1:12" x14ac:dyDescent="0.3">
      <c r="A373">
        <v>2372</v>
      </c>
      <c r="B373">
        <v>73</v>
      </c>
      <c r="C373" t="s">
        <v>38</v>
      </c>
      <c r="D373" t="s">
        <v>15</v>
      </c>
      <c r="E373" t="s">
        <v>37</v>
      </c>
      <c r="F373">
        <v>3</v>
      </c>
      <c r="G373">
        <v>1</v>
      </c>
      <c r="H373" t="s">
        <v>16</v>
      </c>
      <c r="I373">
        <v>5</v>
      </c>
      <c r="J373" t="s">
        <v>44</v>
      </c>
      <c r="K373" t="s">
        <v>14</v>
      </c>
      <c r="L373" t="s">
        <v>16</v>
      </c>
    </row>
    <row r="374" spans="1:12" x14ac:dyDescent="0.3">
      <c r="A374">
        <v>2373</v>
      </c>
      <c r="B374">
        <v>20</v>
      </c>
      <c r="C374" t="s">
        <v>34</v>
      </c>
      <c r="D374" t="s">
        <v>17</v>
      </c>
      <c r="E374" t="s">
        <v>49</v>
      </c>
      <c r="F374">
        <v>14</v>
      </c>
      <c r="G374">
        <v>0</v>
      </c>
      <c r="H374" t="s">
        <v>16</v>
      </c>
      <c r="I374">
        <v>7</v>
      </c>
      <c r="J374" t="s">
        <v>33</v>
      </c>
      <c r="K374" t="s">
        <v>14</v>
      </c>
      <c r="L374" t="s">
        <v>16</v>
      </c>
    </row>
    <row r="375" spans="1:12" x14ac:dyDescent="0.3">
      <c r="A375">
        <v>2374</v>
      </c>
      <c r="B375">
        <v>61</v>
      </c>
      <c r="C375" t="s">
        <v>34</v>
      </c>
      <c r="D375" t="s">
        <v>17</v>
      </c>
      <c r="E375" t="s">
        <v>49</v>
      </c>
      <c r="F375">
        <v>9</v>
      </c>
      <c r="G375">
        <v>2</v>
      </c>
      <c r="H375" t="s">
        <v>16</v>
      </c>
      <c r="I375">
        <v>7</v>
      </c>
      <c r="J375" t="s">
        <v>48</v>
      </c>
      <c r="K375" t="s">
        <v>16</v>
      </c>
      <c r="L375" t="s">
        <v>16</v>
      </c>
    </row>
    <row r="376" spans="1:12" x14ac:dyDescent="0.3">
      <c r="A376">
        <v>2375</v>
      </c>
      <c r="B376">
        <v>23</v>
      </c>
      <c r="C376" t="s">
        <v>34</v>
      </c>
      <c r="D376" t="s">
        <v>17</v>
      </c>
      <c r="E376" t="s">
        <v>42</v>
      </c>
      <c r="F376">
        <v>2</v>
      </c>
      <c r="G376">
        <v>3</v>
      </c>
      <c r="H376" t="s">
        <v>16</v>
      </c>
      <c r="I376">
        <v>9</v>
      </c>
      <c r="J376" t="s">
        <v>36</v>
      </c>
      <c r="K376" t="s">
        <v>14</v>
      </c>
      <c r="L376" t="s">
        <v>16</v>
      </c>
    </row>
    <row r="377" spans="1:12" x14ac:dyDescent="0.3">
      <c r="A377">
        <v>2376</v>
      </c>
      <c r="B377">
        <v>87</v>
      </c>
      <c r="C377" t="s">
        <v>38</v>
      </c>
      <c r="D377" t="s">
        <v>15</v>
      </c>
      <c r="E377" t="s">
        <v>37</v>
      </c>
      <c r="F377">
        <v>12</v>
      </c>
      <c r="G377">
        <v>0</v>
      </c>
      <c r="H377" t="s">
        <v>16</v>
      </c>
      <c r="I377">
        <v>6</v>
      </c>
      <c r="J377" t="s">
        <v>48</v>
      </c>
      <c r="K377" t="s">
        <v>14</v>
      </c>
      <c r="L377" t="s">
        <v>16</v>
      </c>
    </row>
    <row r="378" spans="1:12" x14ac:dyDescent="0.3">
      <c r="A378">
        <v>2377</v>
      </c>
      <c r="B378">
        <v>51</v>
      </c>
      <c r="C378" t="s">
        <v>38</v>
      </c>
      <c r="D378" t="s">
        <v>19</v>
      </c>
      <c r="E378" t="s">
        <v>45</v>
      </c>
      <c r="F378">
        <v>10</v>
      </c>
      <c r="G378">
        <v>2</v>
      </c>
      <c r="H378" t="s">
        <v>16</v>
      </c>
      <c r="I378">
        <v>9</v>
      </c>
      <c r="J378" t="s">
        <v>48</v>
      </c>
      <c r="K378" t="s">
        <v>14</v>
      </c>
      <c r="L378" t="s">
        <v>16</v>
      </c>
    </row>
    <row r="379" spans="1:12" x14ac:dyDescent="0.3">
      <c r="A379">
        <v>2378</v>
      </c>
      <c r="B379">
        <v>45</v>
      </c>
      <c r="C379" t="s">
        <v>34</v>
      </c>
      <c r="D379" t="s">
        <v>18</v>
      </c>
      <c r="E379" t="s">
        <v>52</v>
      </c>
      <c r="F379">
        <v>8</v>
      </c>
      <c r="G379">
        <v>1</v>
      </c>
      <c r="H379" t="s">
        <v>16</v>
      </c>
      <c r="I379">
        <v>12</v>
      </c>
      <c r="J379" t="s">
        <v>33</v>
      </c>
      <c r="K379" t="s">
        <v>14</v>
      </c>
      <c r="L379" t="s">
        <v>16</v>
      </c>
    </row>
    <row r="380" spans="1:12" x14ac:dyDescent="0.3">
      <c r="A380">
        <v>2379</v>
      </c>
      <c r="B380">
        <v>68</v>
      </c>
      <c r="C380" t="s">
        <v>38</v>
      </c>
      <c r="D380" t="s">
        <v>15</v>
      </c>
      <c r="E380" t="s">
        <v>37</v>
      </c>
      <c r="F380">
        <v>8</v>
      </c>
      <c r="G380">
        <v>1</v>
      </c>
      <c r="H380" t="s">
        <v>14</v>
      </c>
      <c r="I380">
        <v>3</v>
      </c>
      <c r="J380" t="s">
        <v>48</v>
      </c>
      <c r="K380" t="s">
        <v>14</v>
      </c>
      <c r="L380" t="s">
        <v>14</v>
      </c>
    </row>
    <row r="381" spans="1:12" x14ac:dyDescent="0.3">
      <c r="A381">
        <v>2380</v>
      </c>
      <c r="B381">
        <v>63</v>
      </c>
      <c r="C381" t="s">
        <v>34</v>
      </c>
      <c r="D381" t="s">
        <v>13</v>
      </c>
      <c r="E381" t="s">
        <v>32</v>
      </c>
      <c r="F381">
        <v>14</v>
      </c>
      <c r="G381">
        <v>1</v>
      </c>
      <c r="H381" t="s">
        <v>16</v>
      </c>
      <c r="I381">
        <v>7</v>
      </c>
      <c r="J381" t="s">
        <v>33</v>
      </c>
      <c r="K381" t="s">
        <v>14</v>
      </c>
      <c r="L381" t="s">
        <v>16</v>
      </c>
    </row>
    <row r="382" spans="1:12" x14ac:dyDescent="0.3">
      <c r="A382">
        <v>2381</v>
      </c>
      <c r="B382">
        <v>68</v>
      </c>
      <c r="C382" t="s">
        <v>38</v>
      </c>
      <c r="D382" t="s">
        <v>13</v>
      </c>
      <c r="E382" t="s">
        <v>32</v>
      </c>
      <c r="F382">
        <v>4</v>
      </c>
      <c r="G382">
        <v>1</v>
      </c>
      <c r="H382" t="s">
        <v>16</v>
      </c>
      <c r="I382">
        <v>14</v>
      </c>
      <c r="J382" t="s">
        <v>33</v>
      </c>
      <c r="K382" t="s">
        <v>14</v>
      </c>
      <c r="L382" t="s">
        <v>16</v>
      </c>
    </row>
    <row r="383" spans="1:12" x14ac:dyDescent="0.3">
      <c r="A383">
        <v>2382</v>
      </c>
      <c r="B383">
        <v>60</v>
      </c>
      <c r="C383" t="s">
        <v>38</v>
      </c>
      <c r="D383" t="s">
        <v>19</v>
      </c>
      <c r="E383" t="s">
        <v>46</v>
      </c>
      <c r="F383">
        <v>11</v>
      </c>
      <c r="G383">
        <v>1</v>
      </c>
      <c r="H383" t="s">
        <v>14</v>
      </c>
      <c r="I383">
        <v>13</v>
      </c>
      <c r="J383" t="s">
        <v>33</v>
      </c>
      <c r="K383" t="s">
        <v>14</v>
      </c>
      <c r="L383" t="s">
        <v>16</v>
      </c>
    </row>
    <row r="384" spans="1:12" x14ac:dyDescent="0.3">
      <c r="A384">
        <v>2383</v>
      </c>
      <c r="B384">
        <v>47</v>
      </c>
      <c r="C384" t="s">
        <v>38</v>
      </c>
      <c r="D384" t="s">
        <v>15</v>
      </c>
      <c r="E384" t="s">
        <v>39</v>
      </c>
      <c r="F384">
        <v>6</v>
      </c>
      <c r="G384">
        <v>2</v>
      </c>
      <c r="H384" t="s">
        <v>16</v>
      </c>
      <c r="I384">
        <v>9</v>
      </c>
      <c r="J384" t="s">
        <v>33</v>
      </c>
      <c r="K384" t="s">
        <v>14</v>
      </c>
      <c r="L384" t="s">
        <v>16</v>
      </c>
    </row>
    <row r="385" spans="1:12" x14ac:dyDescent="0.3">
      <c r="A385">
        <v>2384</v>
      </c>
      <c r="B385">
        <v>26</v>
      </c>
      <c r="C385" t="s">
        <v>34</v>
      </c>
      <c r="D385" t="s">
        <v>19</v>
      </c>
      <c r="E385" t="s">
        <v>46</v>
      </c>
      <c r="F385">
        <v>2</v>
      </c>
      <c r="G385">
        <v>1</v>
      </c>
      <c r="H385" t="s">
        <v>16</v>
      </c>
      <c r="I385">
        <v>10</v>
      </c>
      <c r="J385" t="s">
        <v>44</v>
      </c>
      <c r="K385" t="s">
        <v>16</v>
      </c>
      <c r="L385" t="s">
        <v>16</v>
      </c>
    </row>
    <row r="386" spans="1:12" x14ac:dyDescent="0.3">
      <c r="A386">
        <v>2385</v>
      </c>
      <c r="B386">
        <v>52</v>
      </c>
      <c r="C386" t="s">
        <v>38</v>
      </c>
      <c r="D386" t="s">
        <v>19</v>
      </c>
      <c r="E386" t="s">
        <v>45</v>
      </c>
      <c r="F386">
        <v>7</v>
      </c>
      <c r="G386">
        <v>2</v>
      </c>
      <c r="H386" t="s">
        <v>14</v>
      </c>
      <c r="I386">
        <v>3</v>
      </c>
      <c r="J386" t="s">
        <v>33</v>
      </c>
      <c r="K386" t="s">
        <v>16</v>
      </c>
      <c r="L386" t="s">
        <v>14</v>
      </c>
    </row>
    <row r="387" spans="1:12" x14ac:dyDescent="0.3">
      <c r="A387">
        <v>2386</v>
      </c>
      <c r="B387">
        <v>66</v>
      </c>
      <c r="C387" t="s">
        <v>38</v>
      </c>
      <c r="D387" t="s">
        <v>15</v>
      </c>
      <c r="E387" t="s">
        <v>37</v>
      </c>
      <c r="F387">
        <v>6</v>
      </c>
      <c r="G387">
        <v>2</v>
      </c>
      <c r="H387" t="s">
        <v>16</v>
      </c>
      <c r="I387">
        <v>11</v>
      </c>
      <c r="J387" t="s">
        <v>33</v>
      </c>
      <c r="K387" t="s">
        <v>14</v>
      </c>
      <c r="L387" t="s">
        <v>16</v>
      </c>
    </row>
    <row r="388" spans="1:12" x14ac:dyDescent="0.3">
      <c r="A388">
        <v>2387</v>
      </c>
      <c r="B388">
        <v>61</v>
      </c>
      <c r="C388" t="s">
        <v>34</v>
      </c>
      <c r="D388" t="s">
        <v>19</v>
      </c>
      <c r="E388" t="s">
        <v>46</v>
      </c>
      <c r="F388">
        <v>9</v>
      </c>
      <c r="G388">
        <v>1</v>
      </c>
      <c r="H388" t="s">
        <v>16</v>
      </c>
      <c r="I388">
        <v>14</v>
      </c>
      <c r="J388" t="s">
        <v>33</v>
      </c>
      <c r="K388" t="s">
        <v>16</v>
      </c>
      <c r="L388" t="s">
        <v>14</v>
      </c>
    </row>
    <row r="389" spans="1:12" x14ac:dyDescent="0.3">
      <c r="A389">
        <v>2388</v>
      </c>
      <c r="B389">
        <v>62</v>
      </c>
      <c r="C389" t="s">
        <v>38</v>
      </c>
      <c r="D389" t="s">
        <v>15</v>
      </c>
      <c r="E389" t="s">
        <v>37</v>
      </c>
      <c r="F389">
        <v>10</v>
      </c>
      <c r="G389">
        <v>2</v>
      </c>
      <c r="H389" t="s">
        <v>16</v>
      </c>
      <c r="I389">
        <v>3</v>
      </c>
      <c r="J389" t="s">
        <v>33</v>
      </c>
      <c r="K389" t="s">
        <v>14</v>
      </c>
      <c r="L389" t="s">
        <v>16</v>
      </c>
    </row>
    <row r="390" spans="1:12" x14ac:dyDescent="0.3">
      <c r="A390">
        <v>2389</v>
      </c>
      <c r="B390">
        <v>50</v>
      </c>
      <c r="C390" t="s">
        <v>34</v>
      </c>
      <c r="D390" t="s">
        <v>17</v>
      </c>
      <c r="E390" t="s">
        <v>42</v>
      </c>
      <c r="F390">
        <v>13</v>
      </c>
      <c r="G390">
        <v>1</v>
      </c>
      <c r="H390" t="s">
        <v>14</v>
      </c>
      <c r="I390">
        <v>2</v>
      </c>
      <c r="J390" t="s">
        <v>44</v>
      </c>
      <c r="K390" t="s">
        <v>14</v>
      </c>
      <c r="L390" t="s">
        <v>16</v>
      </c>
    </row>
    <row r="391" spans="1:12" x14ac:dyDescent="0.3">
      <c r="A391">
        <v>2390</v>
      </c>
      <c r="B391">
        <v>73</v>
      </c>
      <c r="C391" t="s">
        <v>34</v>
      </c>
      <c r="D391" t="s">
        <v>15</v>
      </c>
      <c r="E391" t="s">
        <v>39</v>
      </c>
      <c r="F391">
        <v>3</v>
      </c>
      <c r="G391">
        <v>1</v>
      </c>
      <c r="H391" t="s">
        <v>16</v>
      </c>
      <c r="I391">
        <v>9</v>
      </c>
      <c r="J391" t="s">
        <v>48</v>
      </c>
      <c r="K391" t="s">
        <v>16</v>
      </c>
      <c r="L391" t="s">
        <v>16</v>
      </c>
    </row>
    <row r="392" spans="1:12" x14ac:dyDescent="0.3">
      <c r="A392">
        <v>2391</v>
      </c>
      <c r="B392">
        <v>44</v>
      </c>
      <c r="C392" t="s">
        <v>34</v>
      </c>
      <c r="D392" t="s">
        <v>19</v>
      </c>
      <c r="E392" t="s">
        <v>45</v>
      </c>
      <c r="F392">
        <v>13</v>
      </c>
      <c r="G392">
        <v>0</v>
      </c>
      <c r="H392" t="s">
        <v>14</v>
      </c>
      <c r="I392">
        <v>14</v>
      </c>
      <c r="J392" t="s">
        <v>36</v>
      </c>
      <c r="K392" t="s">
        <v>16</v>
      </c>
      <c r="L392" t="s">
        <v>14</v>
      </c>
    </row>
    <row r="393" spans="1:12" x14ac:dyDescent="0.3">
      <c r="A393">
        <v>2392</v>
      </c>
      <c r="B393">
        <v>31</v>
      </c>
      <c r="C393" t="s">
        <v>38</v>
      </c>
      <c r="D393" t="s">
        <v>15</v>
      </c>
      <c r="E393" t="s">
        <v>40</v>
      </c>
      <c r="F393">
        <v>13</v>
      </c>
      <c r="G393">
        <v>1</v>
      </c>
      <c r="H393" t="s">
        <v>14</v>
      </c>
      <c r="I393">
        <v>10</v>
      </c>
      <c r="J393" t="s">
        <v>33</v>
      </c>
      <c r="K393" t="s">
        <v>16</v>
      </c>
      <c r="L393" t="s">
        <v>14</v>
      </c>
    </row>
    <row r="394" spans="1:12" x14ac:dyDescent="0.3">
      <c r="A394">
        <v>2393</v>
      </c>
      <c r="B394">
        <v>36</v>
      </c>
      <c r="C394" t="s">
        <v>34</v>
      </c>
      <c r="D394" t="s">
        <v>13</v>
      </c>
      <c r="E394" t="s">
        <v>35</v>
      </c>
      <c r="F394">
        <v>7</v>
      </c>
      <c r="G394">
        <v>0</v>
      </c>
      <c r="H394" t="s">
        <v>16</v>
      </c>
      <c r="I394">
        <v>10</v>
      </c>
      <c r="J394" t="s">
        <v>44</v>
      </c>
      <c r="K394" t="s">
        <v>14</v>
      </c>
      <c r="L394" t="s">
        <v>16</v>
      </c>
    </row>
    <row r="395" spans="1:12" x14ac:dyDescent="0.3">
      <c r="A395">
        <v>2394</v>
      </c>
      <c r="B395">
        <v>27</v>
      </c>
      <c r="C395" t="s">
        <v>34</v>
      </c>
      <c r="D395" t="s">
        <v>15</v>
      </c>
      <c r="E395" t="s">
        <v>37</v>
      </c>
      <c r="F395">
        <v>12</v>
      </c>
      <c r="G395">
        <v>0</v>
      </c>
      <c r="H395" t="s">
        <v>16</v>
      </c>
      <c r="I395">
        <v>4</v>
      </c>
      <c r="J395" t="s">
        <v>48</v>
      </c>
      <c r="K395" t="s">
        <v>16</v>
      </c>
      <c r="L395" t="s">
        <v>16</v>
      </c>
    </row>
    <row r="396" spans="1:12" x14ac:dyDescent="0.3">
      <c r="A396">
        <v>2395</v>
      </c>
      <c r="B396">
        <v>77</v>
      </c>
      <c r="C396" t="s">
        <v>34</v>
      </c>
      <c r="D396" t="s">
        <v>15</v>
      </c>
      <c r="E396" t="s">
        <v>37</v>
      </c>
      <c r="F396">
        <v>6</v>
      </c>
      <c r="G396">
        <v>1</v>
      </c>
      <c r="H396" t="s">
        <v>14</v>
      </c>
      <c r="I396">
        <v>2</v>
      </c>
      <c r="J396" t="s">
        <v>48</v>
      </c>
      <c r="K396" t="s">
        <v>14</v>
      </c>
      <c r="L396" t="s">
        <v>16</v>
      </c>
    </row>
    <row r="397" spans="1:12" x14ac:dyDescent="0.3">
      <c r="A397">
        <v>2396</v>
      </c>
      <c r="B397">
        <v>31</v>
      </c>
      <c r="C397" t="s">
        <v>34</v>
      </c>
      <c r="D397" t="s">
        <v>18</v>
      </c>
      <c r="E397" t="s">
        <v>51</v>
      </c>
      <c r="F397">
        <v>10</v>
      </c>
      <c r="G397">
        <v>1</v>
      </c>
      <c r="H397" t="s">
        <v>16</v>
      </c>
      <c r="I397">
        <v>11</v>
      </c>
      <c r="J397" t="s">
        <v>33</v>
      </c>
      <c r="K397" t="s">
        <v>14</v>
      </c>
      <c r="L397" t="s">
        <v>16</v>
      </c>
    </row>
    <row r="398" spans="1:12" x14ac:dyDescent="0.3">
      <c r="A398">
        <v>2397</v>
      </c>
      <c r="B398">
        <v>53</v>
      </c>
      <c r="C398" t="s">
        <v>38</v>
      </c>
      <c r="D398" t="s">
        <v>13</v>
      </c>
      <c r="E398" t="s">
        <v>43</v>
      </c>
      <c r="F398">
        <v>9</v>
      </c>
      <c r="G398">
        <v>2</v>
      </c>
      <c r="H398" t="s">
        <v>16</v>
      </c>
      <c r="I398">
        <v>9</v>
      </c>
      <c r="J398" t="s">
        <v>44</v>
      </c>
      <c r="K398" t="s">
        <v>14</v>
      </c>
      <c r="L398" t="s">
        <v>16</v>
      </c>
    </row>
    <row r="399" spans="1:12" x14ac:dyDescent="0.3">
      <c r="A399">
        <v>2398</v>
      </c>
      <c r="B399">
        <v>68</v>
      </c>
      <c r="C399" t="s">
        <v>38</v>
      </c>
      <c r="D399" t="s">
        <v>13</v>
      </c>
      <c r="E399" t="s">
        <v>35</v>
      </c>
      <c r="F399">
        <v>3</v>
      </c>
      <c r="G399">
        <v>0</v>
      </c>
      <c r="H399" t="s">
        <v>14</v>
      </c>
      <c r="I399">
        <v>7</v>
      </c>
      <c r="J399" t="s">
        <v>36</v>
      </c>
      <c r="K399" t="s">
        <v>14</v>
      </c>
      <c r="L399" t="s">
        <v>16</v>
      </c>
    </row>
    <row r="400" spans="1:12" x14ac:dyDescent="0.3">
      <c r="A400">
        <v>2399</v>
      </c>
      <c r="B400">
        <v>67</v>
      </c>
      <c r="C400" t="s">
        <v>34</v>
      </c>
      <c r="D400" t="s">
        <v>19</v>
      </c>
      <c r="E400" t="s">
        <v>46</v>
      </c>
      <c r="F400">
        <v>13</v>
      </c>
      <c r="G400">
        <v>1</v>
      </c>
      <c r="H400" t="s">
        <v>14</v>
      </c>
      <c r="I400">
        <v>3</v>
      </c>
      <c r="J400" t="s">
        <v>44</v>
      </c>
      <c r="K400" t="s">
        <v>14</v>
      </c>
      <c r="L400" t="s">
        <v>16</v>
      </c>
    </row>
    <row r="401" spans="1:12" x14ac:dyDescent="0.3">
      <c r="A401">
        <v>2400</v>
      </c>
      <c r="B401">
        <v>38</v>
      </c>
      <c r="C401" t="s">
        <v>38</v>
      </c>
      <c r="D401" t="s">
        <v>17</v>
      </c>
      <c r="E401" t="s">
        <v>42</v>
      </c>
      <c r="F401">
        <v>14</v>
      </c>
      <c r="G401">
        <v>0</v>
      </c>
      <c r="H401" t="s">
        <v>14</v>
      </c>
      <c r="I401">
        <v>11</v>
      </c>
      <c r="J401" t="s">
        <v>44</v>
      </c>
      <c r="K401" t="s">
        <v>14</v>
      </c>
      <c r="L401" t="s">
        <v>14</v>
      </c>
    </row>
    <row r="402" spans="1:12" x14ac:dyDescent="0.3">
      <c r="A402">
        <v>2401</v>
      </c>
      <c r="B402">
        <v>36</v>
      </c>
      <c r="C402" t="s">
        <v>34</v>
      </c>
      <c r="D402" t="s">
        <v>19</v>
      </c>
      <c r="E402" t="s">
        <v>41</v>
      </c>
      <c r="F402">
        <v>2</v>
      </c>
      <c r="G402">
        <v>3</v>
      </c>
      <c r="H402" t="s">
        <v>16</v>
      </c>
      <c r="I402">
        <v>1</v>
      </c>
      <c r="J402" t="s">
        <v>33</v>
      </c>
      <c r="K402" t="s">
        <v>14</v>
      </c>
      <c r="L402" t="s">
        <v>16</v>
      </c>
    </row>
    <row r="403" spans="1:12" x14ac:dyDescent="0.3">
      <c r="A403">
        <v>2402</v>
      </c>
      <c r="B403">
        <v>66</v>
      </c>
      <c r="C403" t="s">
        <v>38</v>
      </c>
      <c r="D403" t="s">
        <v>19</v>
      </c>
      <c r="E403" t="s">
        <v>45</v>
      </c>
      <c r="F403">
        <v>6</v>
      </c>
      <c r="G403">
        <v>2</v>
      </c>
      <c r="H403" t="s">
        <v>14</v>
      </c>
      <c r="I403">
        <v>4</v>
      </c>
      <c r="J403" t="s">
        <v>33</v>
      </c>
      <c r="K403" t="s">
        <v>14</v>
      </c>
      <c r="L403" t="s">
        <v>16</v>
      </c>
    </row>
    <row r="404" spans="1:12" x14ac:dyDescent="0.3">
      <c r="A404">
        <v>2403</v>
      </c>
      <c r="B404">
        <v>31</v>
      </c>
      <c r="C404" t="s">
        <v>34</v>
      </c>
      <c r="D404" t="s">
        <v>15</v>
      </c>
      <c r="E404" t="s">
        <v>37</v>
      </c>
      <c r="F404">
        <v>5</v>
      </c>
      <c r="G404">
        <v>0</v>
      </c>
      <c r="H404" t="s">
        <v>16</v>
      </c>
      <c r="I404">
        <v>14</v>
      </c>
      <c r="J404" t="s">
        <v>33</v>
      </c>
      <c r="K404" t="s">
        <v>14</v>
      </c>
      <c r="L404" t="s">
        <v>16</v>
      </c>
    </row>
    <row r="405" spans="1:12" x14ac:dyDescent="0.3">
      <c r="A405">
        <v>2404</v>
      </c>
      <c r="B405">
        <v>42</v>
      </c>
      <c r="C405" t="s">
        <v>34</v>
      </c>
      <c r="D405" t="s">
        <v>13</v>
      </c>
      <c r="E405" t="s">
        <v>35</v>
      </c>
      <c r="F405">
        <v>14</v>
      </c>
      <c r="G405">
        <v>0</v>
      </c>
      <c r="H405" t="s">
        <v>14</v>
      </c>
      <c r="I405">
        <v>2</v>
      </c>
      <c r="J405" t="s">
        <v>33</v>
      </c>
      <c r="K405" t="s">
        <v>16</v>
      </c>
      <c r="L405" t="s">
        <v>14</v>
      </c>
    </row>
    <row r="406" spans="1:12" x14ac:dyDescent="0.3">
      <c r="A406">
        <v>2405</v>
      </c>
      <c r="B406">
        <v>74</v>
      </c>
      <c r="C406" t="s">
        <v>38</v>
      </c>
      <c r="D406" t="s">
        <v>18</v>
      </c>
      <c r="E406" t="s">
        <v>51</v>
      </c>
      <c r="F406">
        <v>8</v>
      </c>
      <c r="G406">
        <v>0</v>
      </c>
      <c r="H406" t="s">
        <v>16</v>
      </c>
      <c r="I406">
        <v>13</v>
      </c>
      <c r="J406" t="s">
        <v>48</v>
      </c>
      <c r="K406" t="s">
        <v>14</v>
      </c>
      <c r="L406" t="s">
        <v>16</v>
      </c>
    </row>
    <row r="407" spans="1:12" x14ac:dyDescent="0.3">
      <c r="A407">
        <v>2406</v>
      </c>
      <c r="B407">
        <v>50</v>
      </c>
      <c r="C407" t="s">
        <v>38</v>
      </c>
      <c r="D407" t="s">
        <v>15</v>
      </c>
      <c r="E407" t="s">
        <v>40</v>
      </c>
      <c r="F407">
        <v>2</v>
      </c>
      <c r="G407">
        <v>1</v>
      </c>
      <c r="H407" t="s">
        <v>16</v>
      </c>
      <c r="I407">
        <v>1</v>
      </c>
      <c r="J407" t="s">
        <v>33</v>
      </c>
      <c r="K407" t="s">
        <v>16</v>
      </c>
      <c r="L407" t="s">
        <v>14</v>
      </c>
    </row>
    <row r="408" spans="1:12" x14ac:dyDescent="0.3">
      <c r="A408">
        <v>2407</v>
      </c>
      <c r="B408">
        <v>85</v>
      </c>
      <c r="C408" t="s">
        <v>38</v>
      </c>
      <c r="D408" t="s">
        <v>13</v>
      </c>
      <c r="E408" t="s">
        <v>43</v>
      </c>
      <c r="F408">
        <v>9</v>
      </c>
      <c r="G408">
        <v>3</v>
      </c>
      <c r="H408" t="s">
        <v>16</v>
      </c>
      <c r="I408">
        <v>7</v>
      </c>
      <c r="J408" t="s">
        <v>48</v>
      </c>
      <c r="K408" t="s">
        <v>14</v>
      </c>
      <c r="L408" t="s">
        <v>16</v>
      </c>
    </row>
    <row r="409" spans="1:12" x14ac:dyDescent="0.3">
      <c r="A409">
        <v>2408</v>
      </c>
      <c r="B409">
        <v>39</v>
      </c>
      <c r="C409" t="s">
        <v>38</v>
      </c>
      <c r="D409" t="s">
        <v>13</v>
      </c>
      <c r="E409" t="s">
        <v>32</v>
      </c>
      <c r="F409">
        <v>5</v>
      </c>
      <c r="G409">
        <v>1</v>
      </c>
      <c r="H409" t="s">
        <v>16</v>
      </c>
      <c r="I409">
        <v>6</v>
      </c>
      <c r="J409" t="s">
        <v>33</v>
      </c>
      <c r="K409" t="s">
        <v>16</v>
      </c>
      <c r="L409" t="s">
        <v>16</v>
      </c>
    </row>
    <row r="410" spans="1:12" x14ac:dyDescent="0.3">
      <c r="A410">
        <v>2409</v>
      </c>
      <c r="B410">
        <v>62</v>
      </c>
      <c r="C410" t="s">
        <v>38</v>
      </c>
      <c r="D410" t="s">
        <v>18</v>
      </c>
      <c r="E410" t="s">
        <v>51</v>
      </c>
      <c r="F410">
        <v>6</v>
      </c>
      <c r="G410">
        <v>3</v>
      </c>
      <c r="H410" t="s">
        <v>16</v>
      </c>
      <c r="I410">
        <v>12</v>
      </c>
      <c r="J410" t="s">
        <v>44</v>
      </c>
      <c r="K410" t="s">
        <v>16</v>
      </c>
      <c r="L410" t="s">
        <v>16</v>
      </c>
    </row>
    <row r="411" spans="1:12" x14ac:dyDescent="0.3">
      <c r="A411">
        <v>2410</v>
      </c>
      <c r="B411">
        <v>47</v>
      </c>
      <c r="C411" t="s">
        <v>34</v>
      </c>
      <c r="D411" t="s">
        <v>19</v>
      </c>
      <c r="E411" t="s">
        <v>41</v>
      </c>
      <c r="F411">
        <v>4</v>
      </c>
      <c r="G411">
        <v>1</v>
      </c>
      <c r="H411" t="s">
        <v>14</v>
      </c>
      <c r="I411">
        <v>9</v>
      </c>
      <c r="J411" t="s">
        <v>33</v>
      </c>
      <c r="K411" t="s">
        <v>16</v>
      </c>
      <c r="L411" t="s">
        <v>16</v>
      </c>
    </row>
    <row r="412" spans="1:12" x14ac:dyDescent="0.3">
      <c r="A412">
        <v>2411</v>
      </c>
      <c r="B412">
        <v>36</v>
      </c>
      <c r="C412" t="s">
        <v>38</v>
      </c>
      <c r="D412" t="s">
        <v>19</v>
      </c>
      <c r="E412" t="s">
        <v>41</v>
      </c>
      <c r="F412">
        <v>11</v>
      </c>
      <c r="G412">
        <v>0</v>
      </c>
      <c r="H412" t="s">
        <v>16</v>
      </c>
      <c r="I412">
        <v>1</v>
      </c>
      <c r="J412" t="s">
        <v>33</v>
      </c>
      <c r="K412" t="s">
        <v>14</v>
      </c>
      <c r="L412" t="s">
        <v>16</v>
      </c>
    </row>
    <row r="413" spans="1:12" x14ac:dyDescent="0.3">
      <c r="A413">
        <v>2412</v>
      </c>
      <c r="B413">
        <v>56</v>
      </c>
      <c r="C413" t="s">
        <v>34</v>
      </c>
      <c r="D413" t="s">
        <v>13</v>
      </c>
      <c r="E413" t="s">
        <v>32</v>
      </c>
      <c r="F413">
        <v>3</v>
      </c>
      <c r="G413">
        <v>3</v>
      </c>
      <c r="H413" t="s">
        <v>16</v>
      </c>
      <c r="I413">
        <v>2</v>
      </c>
      <c r="J413" t="s">
        <v>33</v>
      </c>
      <c r="K413" t="s">
        <v>16</v>
      </c>
      <c r="L413" t="s">
        <v>16</v>
      </c>
    </row>
    <row r="414" spans="1:12" x14ac:dyDescent="0.3">
      <c r="A414">
        <v>2413</v>
      </c>
      <c r="B414">
        <v>77</v>
      </c>
      <c r="C414" t="s">
        <v>34</v>
      </c>
      <c r="D414" t="s">
        <v>15</v>
      </c>
      <c r="E414" t="s">
        <v>39</v>
      </c>
      <c r="F414">
        <v>5</v>
      </c>
      <c r="G414">
        <v>2</v>
      </c>
      <c r="H414" t="s">
        <v>16</v>
      </c>
      <c r="I414">
        <v>6</v>
      </c>
      <c r="J414" t="s">
        <v>33</v>
      </c>
      <c r="K414" t="s">
        <v>14</v>
      </c>
      <c r="L414" t="s">
        <v>16</v>
      </c>
    </row>
    <row r="415" spans="1:12" x14ac:dyDescent="0.3">
      <c r="A415">
        <v>2414</v>
      </c>
      <c r="B415">
        <v>88</v>
      </c>
      <c r="C415" t="s">
        <v>38</v>
      </c>
      <c r="D415" t="s">
        <v>18</v>
      </c>
      <c r="E415" t="s">
        <v>50</v>
      </c>
      <c r="F415">
        <v>10</v>
      </c>
      <c r="G415">
        <v>0</v>
      </c>
      <c r="H415" t="s">
        <v>16</v>
      </c>
      <c r="I415">
        <v>14</v>
      </c>
      <c r="J415" t="s">
        <v>33</v>
      </c>
      <c r="K415" t="s">
        <v>16</v>
      </c>
      <c r="L415" t="s">
        <v>16</v>
      </c>
    </row>
    <row r="416" spans="1:12" x14ac:dyDescent="0.3">
      <c r="A416">
        <v>2415</v>
      </c>
      <c r="B416">
        <v>77</v>
      </c>
      <c r="C416" t="s">
        <v>38</v>
      </c>
      <c r="D416" t="s">
        <v>13</v>
      </c>
      <c r="E416" t="s">
        <v>43</v>
      </c>
      <c r="F416">
        <v>2</v>
      </c>
      <c r="G416">
        <v>1</v>
      </c>
      <c r="H416" t="s">
        <v>16</v>
      </c>
      <c r="I416">
        <v>3</v>
      </c>
      <c r="J416" t="s">
        <v>33</v>
      </c>
      <c r="K416" t="s">
        <v>14</v>
      </c>
      <c r="L416" t="s">
        <v>16</v>
      </c>
    </row>
    <row r="417" spans="1:12" x14ac:dyDescent="0.3">
      <c r="A417">
        <v>2416</v>
      </c>
      <c r="B417">
        <v>75</v>
      </c>
      <c r="C417" t="s">
        <v>34</v>
      </c>
      <c r="D417" t="s">
        <v>19</v>
      </c>
      <c r="E417" t="s">
        <v>41</v>
      </c>
      <c r="F417">
        <v>1</v>
      </c>
      <c r="G417">
        <v>0</v>
      </c>
      <c r="H417" t="s">
        <v>16</v>
      </c>
      <c r="I417">
        <v>3</v>
      </c>
      <c r="J417" t="s">
        <v>48</v>
      </c>
      <c r="K417" t="s">
        <v>16</v>
      </c>
      <c r="L417" t="s">
        <v>16</v>
      </c>
    </row>
    <row r="418" spans="1:12" x14ac:dyDescent="0.3">
      <c r="A418">
        <v>2417</v>
      </c>
      <c r="B418">
        <v>62</v>
      </c>
      <c r="C418" t="s">
        <v>34</v>
      </c>
      <c r="D418" t="s">
        <v>19</v>
      </c>
      <c r="E418" t="s">
        <v>41</v>
      </c>
      <c r="F418">
        <v>8</v>
      </c>
      <c r="G418">
        <v>3</v>
      </c>
      <c r="H418" t="s">
        <v>16</v>
      </c>
      <c r="I418">
        <v>3</v>
      </c>
      <c r="J418" t="s">
        <v>33</v>
      </c>
      <c r="K418" t="s">
        <v>14</v>
      </c>
      <c r="L418" t="s">
        <v>16</v>
      </c>
    </row>
    <row r="419" spans="1:12" x14ac:dyDescent="0.3">
      <c r="A419">
        <v>2418</v>
      </c>
      <c r="B419">
        <v>45</v>
      </c>
      <c r="C419" t="s">
        <v>38</v>
      </c>
      <c r="D419" t="s">
        <v>15</v>
      </c>
      <c r="E419" t="s">
        <v>37</v>
      </c>
      <c r="F419">
        <v>6</v>
      </c>
      <c r="G419">
        <v>1</v>
      </c>
      <c r="H419" t="s">
        <v>16</v>
      </c>
      <c r="I419">
        <v>4</v>
      </c>
      <c r="J419" t="s">
        <v>48</v>
      </c>
      <c r="K419" t="s">
        <v>14</v>
      </c>
      <c r="L419" t="s">
        <v>16</v>
      </c>
    </row>
    <row r="420" spans="1:12" x14ac:dyDescent="0.3">
      <c r="A420">
        <v>2419</v>
      </c>
      <c r="B420">
        <v>56</v>
      </c>
      <c r="C420" t="s">
        <v>34</v>
      </c>
      <c r="D420" t="s">
        <v>19</v>
      </c>
      <c r="E420" t="s">
        <v>46</v>
      </c>
      <c r="F420">
        <v>3</v>
      </c>
      <c r="G420">
        <v>1</v>
      </c>
      <c r="H420" t="s">
        <v>16</v>
      </c>
      <c r="I420">
        <v>12</v>
      </c>
      <c r="J420" t="s">
        <v>36</v>
      </c>
      <c r="K420" t="s">
        <v>14</v>
      </c>
      <c r="L420" t="s">
        <v>16</v>
      </c>
    </row>
    <row r="421" spans="1:12" x14ac:dyDescent="0.3">
      <c r="A421">
        <v>2420</v>
      </c>
      <c r="B421">
        <v>35</v>
      </c>
      <c r="C421" t="s">
        <v>38</v>
      </c>
      <c r="D421" t="s">
        <v>13</v>
      </c>
      <c r="E421" t="s">
        <v>35</v>
      </c>
      <c r="F421">
        <v>12</v>
      </c>
      <c r="G421">
        <v>1</v>
      </c>
      <c r="H421" t="s">
        <v>14</v>
      </c>
      <c r="I421">
        <v>5</v>
      </c>
      <c r="J421" t="s">
        <v>33</v>
      </c>
      <c r="K421" t="s">
        <v>16</v>
      </c>
      <c r="L421" t="s">
        <v>14</v>
      </c>
    </row>
  </sheetData>
  <conditionalFormatting sqref="C5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34"/>
  <sheetViews>
    <sheetView showGridLines="0" topLeftCell="A19" zoomScaleNormal="100" workbookViewId="0">
      <selection activeCell="B34" sqref="B34:J35"/>
    </sheetView>
  </sheetViews>
  <sheetFormatPr defaultColWidth="8.6640625" defaultRowHeight="14.4" x14ac:dyDescent="0.3"/>
  <cols>
    <col min="2" max="2" width="16" customWidth="1"/>
    <col min="3" max="3" width="4" customWidth="1"/>
    <col min="4" max="4" width="14" customWidth="1"/>
    <col min="5" max="5" width="4" customWidth="1"/>
    <col min="6" max="6" width="16" customWidth="1"/>
    <col min="7" max="7" width="4" customWidth="1"/>
    <col min="8" max="8" width="14" customWidth="1"/>
    <col min="9" max="9" width="4" customWidth="1"/>
    <col min="10" max="10" width="20" customWidth="1"/>
    <col min="11" max="11" width="4" customWidth="1"/>
    <col min="12" max="12" width="14" customWidth="1"/>
    <col min="13" max="13" width="4" customWidth="1"/>
    <col min="14" max="14" width="22" customWidth="1"/>
    <col min="15" max="15" width="4" customWidth="1"/>
  </cols>
  <sheetData>
    <row r="2" spans="2:14" ht="22.8" x14ac:dyDescent="0.4">
      <c r="B2" s="5" t="s">
        <v>0</v>
      </c>
    </row>
    <row r="3" spans="2:14" x14ac:dyDescent="0.3">
      <c r="B3" s="6"/>
    </row>
    <row r="5" spans="2:14" ht="22.35" customHeight="1" x14ac:dyDescent="0.3">
      <c r="B5" s="4" t="s">
        <v>1</v>
      </c>
      <c r="C5" s="4"/>
      <c r="D5" s="4" t="s">
        <v>2</v>
      </c>
      <c r="E5" s="4"/>
      <c r="F5" s="4" t="s">
        <v>3</v>
      </c>
      <c r="G5" s="4"/>
      <c r="H5" s="4" t="s">
        <v>4</v>
      </c>
      <c r="I5" s="4"/>
      <c r="J5" s="4" t="s">
        <v>5</v>
      </c>
      <c r="K5" s="4"/>
    </row>
    <row r="6" spans="2:14" ht="17.399999999999999" x14ac:dyDescent="0.3">
      <c r="B6" s="3">
        <f>COUNTA(PatientRecords[PatientID])</f>
        <v>420</v>
      </c>
      <c r="C6" s="3"/>
      <c r="D6" s="3">
        <f>COUNTIF(PatientRecords[Readmitted_30Days],"Yes")</f>
        <v>76</v>
      </c>
      <c r="E6" s="3"/>
      <c r="F6" s="2">
        <f>D6/B6</f>
        <v>0.18095238095238095</v>
      </c>
      <c r="G6" s="2"/>
      <c r="H6" s="1">
        <f>AVERAGE(PatientRecords[LengthOfStay])</f>
        <v>7.7666666666666666</v>
      </c>
      <c r="I6" s="1"/>
      <c r="J6" s="3"/>
      <c r="K6" s="3"/>
      <c r="N6">
        <f>COUNTIFS(PatientRecords[ChronicCondition],"Yes",PatientRecords[FollowUpScheduled],"No",PatientRecords[Readmitted_30Days],"No")</f>
        <v>14</v>
      </c>
    </row>
    <row r="9" spans="2:14" ht="15.6" x14ac:dyDescent="0.3">
      <c r="B9" s="7" t="s">
        <v>6</v>
      </c>
      <c r="G9" s="7" t="s">
        <v>7</v>
      </c>
    </row>
    <row r="10" spans="2:14" x14ac:dyDescent="0.3">
      <c r="B10" s="8" t="s">
        <v>8</v>
      </c>
      <c r="C10" s="8" t="s">
        <v>9</v>
      </c>
      <c r="D10" s="8" t="s">
        <v>10</v>
      </c>
      <c r="G10" s="8" t="s">
        <v>11</v>
      </c>
      <c r="H10" s="8" t="s">
        <v>12</v>
      </c>
    </row>
    <row r="11" spans="2:14" x14ac:dyDescent="0.3">
      <c r="B11" t="s">
        <v>13</v>
      </c>
      <c r="C11">
        <f>COUNTIFS(PatientRecords[Department],B11,PatientRecords[Readmitted_30Days],"Yes")</f>
        <v>18</v>
      </c>
      <c r="D11">
        <f>COUNTIF(PatientRecords[Department],B11)</f>
        <v>101</v>
      </c>
      <c r="G11" t="s">
        <v>14</v>
      </c>
      <c r="H11">
        <f>COUNTIF(PatientRecords[ChronicCondition],G11)</f>
        <v>157</v>
      </c>
    </row>
    <row r="12" spans="2:14" x14ac:dyDescent="0.3">
      <c r="B12" t="s">
        <v>15</v>
      </c>
      <c r="C12">
        <f>COUNTIFS(PatientRecords[Department],B12,PatientRecords[Readmitted_30Days],"Yes")</f>
        <v>21</v>
      </c>
      <c r="D12">
        <f>COUNTIF(PatientRecords[Department],B12)</f>
        <v>105</v>
      </c>
      <c r="G12" t="s">
        <v>16</v>
      </c>
      <c r="H12">
        <f>COUNTIF(PatientRecords[ChronicCondition],G12)</f>
        <v>263</v>
      </c>
    </row>
    <row r="13" spans="2:14" x14ac:dyDescent="0.3">
      <c r="B13" t="s">
        <v>17</v>
      </c>
      <c r="C13">
        <f>COUNTIFS(PatientRecords[Department],B13,PatientRecords[Readmitted_30Days],"Yes")</f>
        <v>11</v>
      </c>
      <c r="D13">
        <f>COUNTIF(PatientRecords[Department],B13)</f>
        <v>58</v>
      </c>
    </row>
    <row r="14" spans="2:14" x14ac:dyDescent="0.3">
      <c r="B14" t="s">
        <v>18</v>
      </c>
      <c r="C14">
        <f>COUNTIFS(PatientRecords[Department],B14,PatientRecords[Readmitted_30Days],"Yes")</f>
        <v>8</v>
      </c>
      <c r="D14">
        <f>COUNTIF(PatientRecords[Department],B14)</f>
        <v>63</v>
      </c>
    </row>
    <row r="15" spans="2:14" x14ac:dyDescent="0.3">
      <c r="B15" t="s">
        <v>19</v>
      </c>
      <c r="C15">
        <f>COUNTIFS(PatientRecords[Department],B15,PatientRecords[Readmitted_30Days],"Yes")</f>
        <v>18</v>
      </c>
      <c r="D15">
        <f>COUNTIF(PatientRecords[Department],B15)</f>
        <v>93</v>
      </c>
    </row>
    <row r="34" spans="2:2" x14ac:dyDescent="0.3">
      <c r="B34" s="9"/>
    </row>
  </sheetData>
  <mergeCells count="10"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showGridLines="0" zoomScaleNormal="100" workbookViewId="0"/>
  </sheetViews>
  <sheetFormatPr defaultColWidth="8.6640625" defaultRowHeight="14.4" x14ac:dyDescent="0.3"/>
  <cols>
    <col min="1" max="1" width="18" customWidth="1"/>
    <col min="2" max="8" width="14" customWidth="1"/>
  </cols>
  <sheetData>
    <row r="1" spans="1:4" ht="15.6" x14ac:dyDescent="0.3">
      <c r="A1" s="7" t="s">
        <v>54</v>
      </c>
    </row>
    <row r="3" spans="1:4" x14ac:dyDescent="0.3">
      <c r="A3" s="10" t="s">
        <v>55</v>
      </c>
      <c r="B3" s="11" t="s">
        <v>30</v>
      </c>
      <c r="C3" s="12"/>
      <c r="D3" s="13"/>
    </row>
    <row r="4" spans="1:4" x14ac:dyDescent="0.3">
      <c r="A4" s="14" t="s">
        <v>8</v>
      </c>
      <c r="B4" s="15" t="s">
        <v>16</v>
      </c>
      <c r="C4" s="16" t="s">
        <v>14</v>
      </c>
      <c r="D4" s="17" t="s">
        <v>56</v>
      </c>
    </row>
    <row r="5" spans="1:4" x14ac:dyDescent="0.3">
      <c r="A5" s="18" t="s">
        <v>13</v>
      </c>
      <c r="B5" s="19">
        <v>83</v>
      </c>
      <c r="C5" s="20">
        <v>18</v>
      </c>
      <c r="D5" s="21">
        <v>101</v>
      </c>
    </row>
    <row r="6" spans="1:4" x14ac:dyDescent="0.3">
      <c r="A6" s="22" t="s">
        <v>15</v>
      </c>
      <c r="B6" s="23">
        <v>84</v>
      </c>
      <c r="C6" s="24">
        <v>21</v>
      </c>
      <c r="D6" s="25">
        <v>105</v>
      </c>
    </row>
    <row r="7" spans="1:4" x14ac:dyDescent="0.3">
      <c r="A7" s="22" t="s">
        <v>17</v>
      </c>
      <c r="B7" s="23">
        <v>47</v>
      </c>
      <c r="C7" s="24">
        <v>11</v>
      </c>
      <c r="D7" s="25">
        <v>58</v>
      </c>
    </row>
    <row r="8" spans="1:4" x14ac:dyDescent="0.3">
      <c r="A8" s="22" t="s">
        <v>18</v>
      </c>
      <c r="B8" s="23">
        <v>55</v>
      </c>
      <c r="C8" s="24">
        <v>8</v>
      </c>
      <c r="D8" s="25">
        <v>63</v>
      </c>
    </row>
    <row r="9" spans="1:4" x14ac:dyDescent="0.3">
      <c r="A9" s="22" t="s">
        <v>19</v>
      </c>
      <c r="B9" s="26">
        <v>75</v>
      </c>
      <c r="C9" s="27">
        <v>18</v>
      </c>
      <c r="D9" s="28">
        <v>93</v>
      </c>
    </row>
    <row r="10" spans="1:4" x14ac:dyDescent="0.3">
      <c r="A10" s="29" t="s">
        <v>56</v>
      </c>
      <c r="B10" s="30">
        <v>344</v>
      </c>
      <c r="C10" s="31">
        <v>76</v>
      </c>
      <c r="D10" s="32">
        <v>420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showGridLines="0" zoomScaleNormal="100" workbookViewId="0">
      <selection activeCell="F13" sqref="F13"/>
    </sheetView>
  </sheetViews>
  <sheetFormatPr defaultColWidth="8.6640625" defaultRowHeight="14.4" x14ac:dyDescent="0.3"/>
  <cols>
    <col min="1" max="1" width="18" customWidth="1"/>
    <col min="2" max="6" width="14" customWidth="1"/>
    <col min="7" max="7" width="12.5546875" bestFit="1" customWidth="1"/>
    <col min="8" max="8" width="16.6640625" bestFit="1" customWidth="1"/>
    <col min="9" max="9" width="22.33203125" bestFit="1" customWidth="1"/>
    <col min="10" max="10" width="16.6640625" bestFit="1" customWidth="1"/>
    <col min="11" max="11" width="22.33203125" bestFit="1" customWidth="1"/>
    <col min="12" max="12" width="21.5546875" bestFit="1" customWidth="1"/>
    <col min="13" max="13" width="27.109375" bestFit="1" customWidth="1"/>
    <col min="14" max="14" width="21.5546875" bestFit="1" customWidth="1"/>
    <col min="15" max="15" width="27.109375" bestFit="1" customWidth="1"/>
  </cols>
  <sheetData>
    <row r="1" spans="1:4" x14ac:dyDescent="0.3">
      <c r="A1" s="33" t="s">
        <v>30</v>
      </c>
      <c r="B1" s="34" t="s">
        <v>57</v>
      </c>
    </row>
    <row r="3" spans="1:4" x14ac:dyDescent="0.3">
      <c r="A3" s="10"/>
      <c r="B3" s="11" t="s">
        <v>29</v>
      </c>
      <c r="C3" s="12"/>
      <c r="D3" s="13"/>
    </row>
    <row r="4" spans="1:4" x14ac:dyDescent="0.3">
      <c r="A4" s="35" t="s">
        <v>58</v>
      </c>
      <c r="B4" s="15" t="s">
        <v>16</v>
      </c>
      <c r="C4" s="16" t="s">
        <v>14</v>
      </c>
      <c r="D4" s="17" t="s">
        <v>56</v>
      </c>
    </row>
    <row r="5" spans="1:4" x14ac:dyDescent="0.3">
      <c r="A5" s="36" t="s">
        <v>16</v>
      </c>
      <c r="B5" s="37"/>
      <c r="C5" s="20"/>
      <c r="D5" s="21"/>
    </row>
    <row r="6" spans="1:4" x14ac:dyDescent="0.3">
      <c r="A6" s="38" t="s">
        <v>55</v>
      </c>
      <c r="B6" s="39">
        <v>88</v>
      </c>
      <c r="C6" s="24">
        <v>175</v>
      </c>
      <c r="D6" s="25">
        <v>263</v>
      </c>
    </row>
    <row r="7" spans="1:4" x14ac:dyDescent="0.3">
      <c r="A7" s="40" t="s">
        <v>59</v>
      </c>
      <c r="B7" s="41">
        <v>6.9204545454545503</v>
      </c>
      <c r="C7" s="27">
        <v>8.1085714285714303</v>
      </c>
      <c r="D7" s="28">
        <v>7.7110266159695797</v>
      </c>
    </row>
    <row r="8" spans="1:4" x14ac:dyDescent="0.3">
      <c r="A8" s="36" t="s">
        <v>14</v>
      </c>
      <c r="B8" s="37"/>
      <c r="C8" s="42"/>
      <c r="D8" s="21"/>
    </row>
    <row r="9" spans="1:4" x14ac:dyDescent="0.3">
      <c r="A9" s="38" t="s">
        <v>55</v>
      </c>
      <c r="B9" s="39">
        <v>57</v>
      </c>
      <c r="C9" s="43">
        <v>100</v>
      </c>
      <c r="D9" s="25">
        <v>157</v>
      </c>
    </row>
    <row r="10" spans="1:4" x14ac:dyDescent="0.3">
      <c r="A10" s="40" t="s">
        <v>59</v>
      </c>
      <c r="B10" s="41">
        <v>7.6842105263157903</v>
      </c>
      <c r="C10" s="44">
        <v>7.96</v>
      </c>
      <c r="D10" s="28">
        <v>7.8598726114649704</v>
      </c>
    </row>
    <row r="11" spans="1:4" x14ac:dyDescent="0.3">
      <c r="A11" s="45" t="s">
        <v>60</v>
      </c>
      <c r="B11" s="46">
        <v>145</v>
      </c>
      <c r="C11" s="47">
        <v>275</v>
      </c>
      <c r="D11" s="48">
        <v>420</v>
      </c>
    </row>
    <row r="12" spans="1:4" x14ac:dyDescent="0.3">
      <c r="A12" s="29" t="s">
        <v>61</v>
      </c>
      <c r="B12" s="30">
        <v>7.2206896551724098</v>
      </c>
      <c r="C12" s="31">
        <v>8.05454545454546</v>
      </c>
      <c r="D12" s="32">
        <v>7.7666666666666702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showGridLines="0" zoomScaleNormal="100" workbookViewId="0">
      <selection activeCell="B13" sqref="B13"/>
    </sheetView>
  </sheetViews>
  <sheetFormatPr defaultColWidth="8.6640625" defaultRowHeight="14.4" x14ac:dyDescent="0.3"/>
  <cols>
    <col min="1" max="1" width="18" customWidth="1"/>
    <col min="2" max="8" width="14" customWidth="1"/>
  </cols>
  <sheetData>
    <row r="1" spans="1:4" x14ac:dyDescent="0.3">
      <c r="A1" s="33" t="s">
        <v>8</v>
      </c>
      <c r="B1" s="34" t="s">
        <v>57</v>
      </c>
    </row>
    <row r="3" spans="1:4" x14ac:dyDescent="0.3">
      <c r="A3" s="10"/>
      <c r="B3" s="11" t="s">
        <v>30</v>
      </c>
      <c r="C3" s="12"/>
      <c r="D3" s="13"/>
    </row>
    <row r="4" spans="1:4" x14ac:dyDescent="0.3">
      <c r="A4" s="35" t="s">
        <v>58</v>
      </c>
      <c r="B4" s="15" t="s">
        <v>16</v>
      </c>
      <c r="C4" s="16" t="s">
        <v>14</v>
      </c>
      <c r="D4" s="17" t="s">
        <v>56</v>
      </c>
    </row>
    <row r="5" spans="1:4" x14ac:dyDescent="0.3">
      <c r="A5" s="36" t="s">
        <v>33</v>
      </c>
      <c r="B5" s="37"/>
      <c r="C5" s="20"/>
      <c r="D5" s="21"/>
    </row>
    <row r="6" spans="1:4" x14ac:dyDescent="0.3">
      <c r="A6" s="38" t="s">
        <v>55</v>
      </c>
      <c r="B6" s="39">
        <v>185</v>
      </c>
      <c r="C6" s="24">
        <v>37</v>
      </c>
      <c r="D6" s="25">
        <v>222</v>
      </c>
    </row>
    <row r="7" spans="1:4" x14ac:dyDescent="0.3">
      <c r="A7" s="40" t="s">
        <v>62</v>
      </c>
      <c r="B7" s="41">
        <v>1.1135135135135099</v>
      </c>
      <c r="C7" s="27">
        <v>2.0810810810810798</v>
      </c>
      <c r="D7" s="28">
        <v>1.27477477477477</v>
      </c>
    </row>
    <row r="8" spans="1:4" x14ac:dyDescent="0.3">
      <c r="A8" s="36" t="s">
        <v>44</v>
      </c>
      <c r="B8" s="37"/>
      <c r="C8" s="42"/>
      <c r="D8" s="21"/>
    </row>
    <row r="9" spans="1:4" x14ac:dyDescent="0.3">
      <c r="A9" s="38" t="s">
        <v>55</v>
      </c>
      <c r="B9" s="39">
        <v>71</v>
      </c>
      <c r="C9" s="43">
        <v>13</v>
      </c>
      <c r="D9" s="25">
        <v>84</v>
      </c>
    </row>
    <row r="10" spans="1:4" x14ac:dyDescent="0.3">
      <c r="A10" s="40" t="s">
        <v>62</v>
      </c>
      <c r="B10" s="41">
        <v>1.0845070422535199</v>
      </c>
      <c r="C10" s="44">
        <v>1.2307692307692299</v>
      </c>
      <c r="D10" s="28">
        <v>1.1071428571428601</v>
      </c>
    </row>
    <row r="11" spans="1:4" x14ac:dyDescent="0.3">
      <c r="A11" s="36" t="s">
        <v>36</v>
      </c>
      <c r="B11" s="37"/>
      <c r="C11" s="20"/>
      <c r="D11" s="21"/>
    </row>
    <row r="12" spans="1:4" x14ac:dyDescent="0.3">
      <c r="A12" s="38" t="s">
        <v>55</v>
      </c>
      <c r="B12" s="39">
        <v>38</v>
      </c>
      <c r="C12" s="24">
        <v>11</v>
      </c>
      <c r="D12" s="25">
        <v>49</v>
      </c>
    </row>
    <row r="13" spans="1:4" x14ac:dyDescent="0.3">
      <c r="A13" s="40" t="s">
        <v>62</v>
      </c>
      <c r="B13" s="41">
        <v>0.92105263157894701</v>
      </c>
      <c r="C13" s="27">
        <v>1.0909090909090899</v>
      </c>
      <c r="D13" s="28">
        <v>0.95918367346938804</v>
      </c>
    </row>
    <row r="14" spans="1:4" x14ac:dyDescent="0.3">
      <c r="A14" s="36" t="s">
        <v>48</v>
      </c>
      <c r="B14" s="37"/>
      <c r="C14" s="42"/>
      <c r="D14" s="21"/>
    </row>
    <row r="15" spans="1:4" x14ac:dyDescent="0.3">
      <c r="A15" s="38" t="s">
        <v>55</v>
      </c>
      <c r="B15" s="39">
        <v>50</v>
      </c>
      <c r="C15" s="43">
        <v>15</v>
      </c>
      <c r="D15" s="25">
        <v>65</v>
      </c>
    </row>
    <row r="16" spans="1:4" x14ac:dyDescent="0.3">
      <c r="A16" s="40" t="s">
        <v>62</v>
      </c>
      <c r="B16" s="41">
        <v>1.04</v>
      </c>
      <c r="C16" s="44">
        <v>1.3333333333333299</v>
      </c>
      <c r="D16" s="28">
        <v>1.10769230769231</v>
      </c>
    </row>
    <row r="17" spans="1:4" x14ac:dyDescent="0.3">
      <c r="A17" s="45" t="s">
        <v>60</v>
      </c>
      <c r="B17" s="46">
        <v>344</v>
      </c>
      <c r="C17" s="47">
        <v>76</v>
      </c>
      <c r="D17" s="48">
        <v>420</v>
      </c>
    </row>
    <row r="18" spans="1:4" x14ac:dyDescent="0.3">
      <c r="A18" s="29" t="s">
        <v>63</v>
      </c>
      <c r="B18" s="30">
        <v>1.07558139534884</v>
      </c>
      <c r="C18" s="31">
        <v>1.6447368421052599</v>
      </c>
      <c r="D18" s="32">
        <v>1.1785714285714299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Cleaned_Data</vt:lpstr>
      <vt:lpstr>Dashboard</vt:lpstr>
      <vt:lpstr>Pivot_Department</vt:lpstr>
      <vt:lpstr>Pivot_Chronic_FollowUp</vt:lpstr>
      <vt:lpstr>Pivot_Disposition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Ria Maurya</cp:lastModifiedBy>
  <cp:revision>1</cp:revision>
  <dcterms:created xsi:type="dcterms:W3CDTF">2026-07-07T11:16:00Z</dcterms:created>
  <dcterms:modified xsi:type="dcterms:W3CDTF">2026-08-02T18:43:00Z</dcterms:modified>
  <dc:language>en-US</dc:language>
</cp:coreProperties>
</file>